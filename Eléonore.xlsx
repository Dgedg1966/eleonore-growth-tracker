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\"/>
    </mc:Choice>
  </mc:AlternateContent>
  <xr:revisionPtr revIDLastSave="0" documentId="13_ncr:1_{32315766-51F6-4BED-9511-6CA0EE6C39B6}" xr6:coauthVersionLast="47" xr6:coauthVersionMax="47" xr10:uidLastSave="{00000000-0000-0000-0000-000000000000}"/>
  <bookViews>
    <workbookView xWindow="-120" yWindow="-120" windowWidth="29040" windowHeight="15720" activeTab="1" xr2:uid="{365E2A83-205E-4CD6-9F9F-33DAB63E690C}"/>
  </bookViews>
  <sheets>
    <sheet name="Poids et Taille" sheetId="1" r:id="rId1"/>
    <sheet name="La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2" i="2" l="1"/>
  <c r="N526" i="2"/>
  <c r="L526" i="2"/>
  <c r="J526" i="2"/>
  <c r="H526" i="2"/>
  <c r="F526" i="2"/>
  <c r="D526" i="2"/>
  <c r="B526" i="2"/>
  <c r="N505" i="2"/>
  <c r="L505" i="2"/>
  <c r="J505" i="2"/>
  <c r="H505" i="2"/>
  <c r="F505" i="2"/>
  <c r="D505" i="2"/>
  <c r="B505" i="2"/>
  <c r="N484" i="2"/>
  <c r="L484" i="2"/>
  <c r="J484" i="2"/>
  <c r="H484" i="2"/>
  <c r="F484" i="2"/>
  <c r="D484" i="2"/>
  <c r="B484" i="2"/>
  <c r="N463" i="2"/>
  <c r="L463" i="2"/>
  <c r="J463" i="2"/>
  <c r="H463" i="2"/>
  <c r="F463" i="2"/>
  <c r="D463" i="2"/>
  <c r="B463" i="2"/>
  <c r="N442" i="2"/>
  <c r="L442" i="2"/>
  <c r="J442" i="2"/>
  <c r="H442" i="2"/>
  <c r="F442" i="2"/>
  <c r="D442" i="2"/>
  <c r="B442" i="2"/>
  <c r="N421" i="2"/>
  <c r="L421" i="2"/>
  <c r="J421" i="2"/>
  <c r="H421" i="2"/>
  <c r="F421" i="2"/>
  <c r="D421" i="2"/>
  <c r="B421" i="2"/>
  <c r="J400" i="2"/>
  <c r="N400" i="2"/>
  <c r="L400" i="2"/>
  <c r="H400" i="2"/>
  <c r="F400" i="2"/>
  <c r="D400" i="2"/>
  <c r="B400" i="2"/>
  <c r="N379" i="2"/>
  <c r="L379" i="2"/>
  <c r="J379" i="2"/>
  <c r="H379" i="2"/>
  <c r="F379" i="2"/>
  <c r="D379" i="2"/>
  <c r="B379" i="2"/>
  <c r="N358" i="2"/>
  <c r="L358" i="2"/>
  <c r="J358" i="2"/>
  <c r="H358" i="2"/>
  <c r="F358" i="2"/>
  <c r="D358" i="2"/>
  <c r="B358" i="2"/>
  <c r="N337" i="2"/>
  <c r="L337" i="2"/>
  <c r="J337" i="2"/>
  <c r="H337" i="2"/>
  <c r="F337" i="2"/>
  <c r="D337" i="2"/>
  <c r="B337" i="2"/>
  <c r="N316" i="2"/>
  <c r="L316" i="2"/>
  <c r="J316" i="2"/>
  <c r="H316" i="2"/>
  <c r="F316" i="2"/>
  <c r="D316" i="2"/>
  <c r="B316" i="2"/>
  <c r="N295" i="2"/>
  <c r="L295" i="2"/>
  <c r="J295" i="2"/>
  <c r="H295" i="2"/>
  <c r="F295" i="2"/>
  <c r="D295" i="2"/>
  <c r="B295" i="2"/>
  <c r="N274" i="2"/>
  <c r="L274" i="2"/>
  <c r="J274" i="2"/>
  <c r="H274" i="2"/>
  <c r="F274" i="2"/>
  <c r="D274" i="2"/>
  <c r="B274" i="2"/>
  <c r="N253" i="2"/>
  <c r="L253" i="2"/>
  <c r="J253" i="2"/>
  <c r="H253" i="2"/>
  <c r="F253" i="2"/>
  <c r="D253" i="2"/>
  <c r="B253" i="2"/>
  <c r="N232" i="2"/>
  <c r="L232" i="2"/>
  <c r="J232" i="2"/>
  <c r="F232" i="2"/>
  <c r="D232" i="2"/>
  <c r="B232" i="2"/>
  <c r="N211" i="2"/>
  <c r="L211" i="2"/>
  <c r="J211" i="2"/>
  <c r="H211" i="2"/>
  <c r="F211" i="2"/>
  <c r="D211" i="2"/>
  <c r="B211" i="2"/>
  <c r="N190" i="2"/>
  <c r="L190" i="2"/>
  <c r="J190" i="2"/>
  <c r="H190" i="2"/>
  <c r="F190" i="2"/>
  <c r="D190" i="2"/>
  <c r="B190" i="2"/>
  <c r="N148" i="2"/>
  <c r="J148" i="2"/>
  <c r="H148" i="2"/>
  <c r="F148" i="2"/>
  <c r="N169" i="2"/>
  <c r="L169" i="2"/>
  <c r="J169" i="2"/>
  <c r="H169" i="2"/>
  <c r="F169" i="2"/>
  <c r="D169" i="2"/>
  <c r="B169" i="2"/>
  <c r="B148" i="2"/>
  <c r="L148" i="2"/>
  <c r="D148" i="2"/>
  <c r="L127" i="2"/>
  <c r="H127" i="2"/>
  <c r="D127" i="2"/>
  <c r="N127" i="2"/>
  <c r="J127" i="2"/>
  <c r="F127" i="2"/>
  <c r="B127" i="2"/>
  <c r="P127" i="2" s="1"/>
  <c r="H106" i="2"/>
  <c r="P526" i="2" l="1"/>
  <c r="P505" i="2"/>
  <c r="P484" i="2"/>
  <c r="P463" i="2"/>
  <c r="P442" i="2"/>
  <c r="P421" i="2"/>
  <c r="P400" i="2"/>
  <c r="P379" i="2"/>
  <c r="P358" i="2"/>
  <c r="P337" i="2"/>
  <c r="P316" i="2"/>
  <c r="P295" i="2"/>
  <c r="P274" i="2"/>
  <c r="P253" i="2"/>
  <c r="P232" i="2"/>
  <c r="P211" i="2"/>
  <c r="P190" i="2"/>
  <c r="P169" i="2"/>
  <c r="P148" i="2"/>
  <c r="F106" i="2"/>
  <c r="B85" i="2"/>
  <c r="B106" i="2"/>
  <c r="D106" i="2"/>
  <c r="N106" i="2"/>
  <c r="L106" i="2"/>
  <c r="J106" i="2"/>
  <c r="L85" i="2"/>
  <c r="D85" i="2"/>
  <c r="F85" i="2"/>
  <c r="H85" i="2"/>
  <c r="N85" i="2"/>
  <c r="J85" i="2"/>
  <c r="N64" i="2"/>
  <c r="L64" i="2"/>
  <c r="H64" i="2"/>
  <c r="J43" i="2"/>
  <c r="N43" i="2"/>
  <c r="F22" i="2"/>
  <c r="D22" i="2"/>
  <c r="B22" i="2"/>
  <c r="N22" i="2"/>
  <c r="B43" i="2"/>
  <c r="D43" i="2"/>
  <c r="F43" i="2"/>
  <c r="H43" i="2"/>
  <c r="B64" i="2"/>
  <c r="D64" i="2"/>
  <c r="F64" i="2"/>
  <c r="J64" i="2"/>
  <c r="L43" i="2"/>
  <c r="L22" i="2"/>
  <c r="J22" i="2"/>
  <c r="H22" i="2"/>
  <c r="P85" i="2" l="1"/>
  <c r="P22" i="2"/>
  <c r="P64" i="2"/>
  <c r="P43" i="2"/>
  <c r="P106" i="2"/>
</calcChain>
</file>

<file path=xl/sharedStrings.xml><?xml version="1.0" encoding="utf-8"?>
<sst xmlns="http://schemas.openxmlformats.org/spreadsheetml/2006/main" count="995" uniqueCount="94">
  <si>
    <t>Date</t>
  </si>
  <si>
    <t>17:30 à 17:45</t>
  </si>
  <si>
    <t>1:45 à 2:00</t>
  </si>
  <si>
    <t>11:45 à 12:00</t>
  </si>
  <si>
    <t>14:45 à 15:00</t>
  </si>
  <si>
    <t>17:00 à 17:15</t>
  </si>
  <si>
    <t>20:00 à 20:15</t>
  </si>
  <si>
    <t>16:00 à 16:15</t>
  </si>
  <si>
    <t>19:00 à 19:15</t>
  </si>
  <si>
    <t>21:45 à 22:00</t>
  </si>
  <si>
    <t>23:00 à 23:15</t>
  </si>
  <si>
    <t>ml</t>
  </si>
  <si>
    <t>heure</t>
  </si>
  <si>
    <t>total</t>
  </si>
  <si>
    <t>Biberons et allaitement</t>
  </si>
  <si>
    <t>22:00 à 22:15</t>
  </si>
  <si>
    <t>10:30 à 11:00</t>
  </si>
  <si>
    <t>15:30 à 15:45</t>
  </si>
  <si>
    <t>18:15 à 18:30</t>
  </si>
  <si>
    <t>16:30 à 16:45</t>
  </si>
  <si>
    <t>11:00 à 11:15</t>
  </si>
  <si>
    <t>9:30 à 9:45</t>
  </si>
  <si>
    <t>14:00 à 14:30</t>
  </si>
  <si>
    <t>16:15 à 16:30</t>
  </si>
  <si>
    <t>:</t>
  </si>
  <si>
    <t>19:30 à 19:45</t>
  </si>
  <si>
    <t>22:15 à 22:30</t>
  </si>
  <si>
    <t>18:30 à 18:45</t>
  </si>
  <si>
    <t>10:45 à 11:00</t>
  </si>
  <si>
    <t>20:30 à 20:45</t>
  </si>
  <si>
    <t>21:00 à 22:00</t>
  </si>
  <si>
    <t>18:00 à 18:15</t>
  </si>
  <si>
    <t>23:30 à 0:00</t>
  </si>
  <si>
    <t>20:45 à 21:00</t>
  </si>
  <si>
    <t>17:00 à 17:30</t>
  </si>
  <si>
    <t>20:00 à 20:30</t>
  </si>
  <si>
    <t>23:00 à 23:30</t>
  </si>
  <si>
    <t>15:00 à 15:15</t>
  </si>
  <si>
    <t>21:00 à 21:15</t>
  </si>
  <si>
    <t>14:00 à 14:15</t>
  </si>
  <si>
    <t>13:00 à 13:15</t>
  </si>
  <si>
    <t>12:00 à 12:15</t>
  </si>
  <si>
    <t>18:00 à 18:30</t>
  </si>
  <si>
    <t>9:00 à 9:30</t>
  </si>
  <si>
    <t>15:00 à 15:30</t>
  </si>
  <si>
    <t>13:15 à13:30</t>
  </si>
  <si>
    <t>23:30 à 23:45</t>
  </si>
  <si>
    <t>22:30 à 22h45</t>
  </si>
  <si>
    <t>21:00 à 21:30</t>
  </si>
  <si>
    <t>22:30 à 22:45</t>
  </si>
  <si>
    <t>12:45 à 13:00</t>
  </si>
  <si>
    <t>20:15 à 20:30</t>
  </si>
  <si>
    <t>Taille (cm)</t>
  </si>
  <si>
    <t>Poids (kg)</t>
  </si>
  <si>
    <t>Tour de tête (cm)</t>
  </si>
  <si>
    <t>13:15 à 13:30</t>
  </si>
  <si>
    <t>19:45 à 20:00</t>
  </si>
  <si>
    <t>14:30 à 14:45</t>
  </si>
  <si>
    <t>0:15 à 0:30</t>
  </si>
  <si>
    <t>1:15 à 1:30</t>
  </si>
  <si>
    <t>13:15 à 13:45</t>
  </si>
  <si>
    <t>17:30 à 18:00</t>
  </si>
  <si>
    <t>5:15 à 5:30</t>
  </si>
  <si>
    <t>6:00 à 6:15</t>
  </si>
  <si>
    <t>12:30 à 12:45</t>
  </si>
  <si>
    <t>10:00 à 10:15</t>
  </si>
  <si>
    <t>23:45 à 0:00</t>
  </si>
  <si>
    <t>Moyenne semaine:</t>
  </si>
  <si>
    <t>21:30 à 21:45</t>
  </si>
  <si>
    <t>19:00 à 19:30</t>
  </si>
  <si>
    <t>14:15 à 14:30</t>
  </si>
  <si>
    <t>16:45 à 17:00</t>
  </si>
  <si>
    <t>15:45 à 16:00</t>
  </si>
  <si>
    <t>3:00 à 3:15</t>
  </si>
  <si>
    <t>13:30 à 13:45</t>
  </si>
  <si>
    <t>Solides</t>
  </si>
  <si>
    <t>4 tea spoons</t>
  </si>
  <si>
    <t>France Lait (Vache)</t>
  </si>
  <si>
    <t>Kendamil (Chèvre)</t>
  </si>
  <si>
    <t>Kendamil (Vache)</t>
  </si>
  <si>
    <t>3:015</t>
  </si>
  <si>
    <t>Kabrita (Chèvre)</t>
  </si>
  <si>
    <t>Aptamil (Vache)</t>
  </si>
  <si>
    <t>Biberon Lait Maternel</t>
  </si>
  <si>
    <t>Tétées: estimates = 45ml/15mn</t>
  </si>
  <si>
    <t>Tétées</t>
  </si>
  <si>
    <t>Solides : Avocado, Banana, Egg yok</t>
  </si>
  <si>
    <t>Solides : Bread</t>
  </si>
  <si>
    <t>25 gm</t>
  </si>
  <si>
    <t>Solides :Baby  Crakers</t>
  </si>
  <si>
    <t>Solides : Mash potatoes, Chicken</t>
  </si>
  <si>
    <t>Solides : Red Lentilles</t>
  </si>
  <si>
    <t>Solides : Rice porridge</t>
  </si>
  <si>
    <t xml:space="preserve">25 gm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</si>
</sst>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</cellStyleXfs>
  <cellXfs count="8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7" fillId="4" borderId="3" xfId="3" applyFont="1" applyBorder="1"/>
    <xf numFmtId="164" fontId="8" fillId="5" borderId="4" xfId="3" applyNumberFormat="1" applyFont="1" applyFill="1" applyBorder="1"/>
    <xf numFmtId="0" fontId="9" fillId="2" borderId="3" xfId="1" applyFont="1" applyBorder="1"/>
    <xf numFmtId="0" fontId="10" fillId="3" borderId="3" xfId="2" applyFont="1" applyBorder="1"/>
    <xf numFmtId="20" fontId="4" fillId="0" borderId="4" xfId="0" applyNumberFormat="1" applyFont="1" applyBorder="1"/>
    <xf numFmtId="164" fontId="8" fillId="5" borderId="4" xfId="1" applyNumberFormat="1" applyFont="1" applyFill="1" applyBorder="1"/>
    <xf numFmtId="0" fontId="10" fillId="5" borderId="3" xfId="2" applyFont="1" applyFill="1" applyBorder="1"/>
    <xf numFmtId="0" fontId="4" fillId="0" borderId="4" xfId="0" applyFont="1" applyBorder="1"/>
    <xf numFmtId="164" fontId="8" fillId="5" borderId="4" xfId="2" applyNumberFormat="1" applyFont="1" applyFill="1" applyBorder="1"/>
    <xf numFmtId="0" fontId="9" fillId="5" borderId="3" xfId="1" applyFont="1" applyFill="1" applyBorder="1"/>
    <xf numFmtId="0" fontId="10" fillId="6" borderId="3" xfId="2" applyFont="1" applyFill="1" applyBorder="1"/>
    <xf numFmtId="164" fontId="8" fillId="6" borderId="4" xfId="2" applyNumberFormat="1" applyFont="1" applyFill="1" applyBorder="1"/>
    <xf numFmtId="0" fontId="9" fillId="6" borderId="3" xfId="1" applyFont="1" applyFill="1" applyBorder="1"/>
    <xf numFmtId="20" fontId="4" fillId="6" borderId="4" xfId="0" applyNumberFormat="1" applyFont="1" applyFill="1" applyBorder="1"/>
    <xf numFmtId="0" fontId="4" fillId="0" borderId="3" xfId="0" applyFont="1" applyBorder="1"/>
    <xf numFmtId="0" fontId="4" fillId="5" borderId="4" xfId="0" applyFont="1" applyFill="1" applyBorder="1"/>
    <xf numFmtId="16" fontId="4" fillId="0" borderId="4" xfId="0" applyNumberFormat="1" applyFont="1" applyBorder="1"/>
    <xf numFmtId="0" fontId="9" fillId="5" borderId="4" xfId="1" applyFont="1" applyFill="1" applyBorder="1"/>
    <xf numFmtId="0" fontId="4" fillId="7" borderId="3" xfId="0" applyFont="1" applyFill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7" fillId="5" borderId="3" xfId="3" applyFont="1" applyFill="1" applyBorder="1"/>
    <xf numFmtId="20" fontId="4" fillId="5" borderId="4" xfId="0" applyNumberFormat="1" applyFont="1" applyFill="1" applyBorder="1"/>
    <xf numFmtId="0" fontId="4" fillId="8" borderId="3" xfId="4" applyFont="1" applyBorder="1"/>
    <xf numFmtId="0" fontId="4" fillId="5" borderId="3" xfId="0" applyFont="1" applyFill="1" applyBorder="1"/>
    <xf numFmtId="0" fontId="4" fillId="5" borderId="3" xfId="4" applyFont="1" applyFill="1" applyBorder="1"/>
    <xf numFmtId="20" fontId="4" fillId="5" borderId="0" xfId="0" applyNumberFormat="1" applyFont="1" applyFill="1"/>
    <xf numFmtId="0" fontId="6" fillId="8" borderId="3" xfId="4" applyBorder="1"/>
    <xf numFmtId="0" fontId="8" fillId="5" borderId="4" xfId="1" applyFont="1" applyFill="1" applyBorder="1"/>
    <xf numFmtId="0" fontId="8" fillId="5" borderId="4" xfId="0" applyFont="1" applyFill="1" applyBorder="1"/>
    <xf numFmtId="20" fontId="8" fillId="5" borderId="4" xfId="0" applyNumberFormat="1" applyFont="1" applyFill="1" applyBorder="1"/>
    <xf numFmtId="0" fontId="4" fillId="0" borderId="7" xfId="0" applyFont="1" applyBorder="1" applyAlignment="1">
      <alignment horizontal="center" vertical="center"/>
    </xf>
    <xf numFmtId="0" fontId="4" fillId="4" borderId="3" xfId="3" applyFont="1" applyBorder="1"/>
    <xf numFmtId="0" fontId="4" fillId="2" borderId="3" xfId="1" applyFont="1" applyBorder="1"/>
    <xf numFmtId="0" fontId="4" fillId="5" borderId="3" xfId="1" applyFont="1" applyFill="1" applyBorder="1"/>
    <xf numFmtId="0" fontId="4" fillId="5" borderId="3" xfId="2" applyFont="1" applyFill="1" applyBorder="1"/>
    <xf numFmtId="14" fontId="4" fillId="0" borderId="7" xfId="0" applyNumberFormat="1" applyFont="1" applyBorder="1"/>
    <xf numFmtId="0" fontId="4" fillId="0" borderId="7" xfId="0" applyFont="1" applyBorder="1"/>
    <xf numFmtId="20" fontId="8" fillId="5" borderId="4" xfId="1" applyNumberFormat="1" applyFont="1" applyFill="1" applyBorder="1"/>
    <xf numFmtId="0" fontId="4" fillId="9" borderId="3" xfId="5" applyFont="1" applyBorder="1"/>
    <xf numFmtId="0" fontId="4" fillId="5" borderId="4" xfId="1" applyFont="1" applyFill="1" applyBorder="1"/>
    <xf numFmtId="0" fontId="8" fillId="8" borderId="3" xfId="4" applyFont="1" applyBorder="1"/>
    <xf numFmtId="0" fontId="8" fillId="4" borderId="3" xfId="3" applyFont="1" applyBorder="1"/>
    <xf numFmtId="0" fontId="8" fillId="2" borderId="3" xfId="1" applyFont="1" applyBorder="1"/>
    <xf numFmtId="0" fontId="4" fillId="7" borderId="3" xfId="1" applyFont="1" applyFill="1" applyBorder="1"/>
    <xf numFmtId="0" fontId="6" fillId="0" borderId="0" xfId="0" applyFont="1"/>
    <xf numFmtId="20" fontId="4" fillId="5" borderId="4" xfId="1" applyNumberFormat="1" applyFont="1" applyFill="1" applyBorder="1"/>
    <xf numFmtId="0" fontId="8" fillId="0" borderId="0" xfId="0" applyFont="1"/>
    <xf numFmtId="0" fontId="0" fillId="0" borderId="7" xfId="0" applyBorder="1"/>
    <xf numFmtId="0" fontId="8" fillId="8" borderId="0" xfId="4" applyFont="1" applyBorder="1"/>
    <xf numFmtId="20" fontId="0" fillId="0" borderId="0" xfId="0" applyNumberFormat="1"/>
    <xf numFmtId="0" fontId="8" fillId="2" borderId="0" xfId="1" applyFont="1" applyBorder="1"/>
    <xf numFmtId="0" fontId="8" fillId="4" borderId="0" xfId="3" applyFont="1" applyBorder="1"/>
    <xf numFmtId="0" fontId="4" fillId="8" borderId="0" xfId="4" applyFont="1" applyBorder="1"/>
    <xf numFmtId="20" fontId="4" fillId="0" borderId="0" xfId="0" applyNumberFormat="1" applyFont="1"/>
    <xf numFmtId="0" fontId="4" fillId="4" borderId="0" xfId="3" applyFont="1" applyBorder="1"/>
    <xf numFmtId="0" fontId="8" fillId="8" borderId="3" xfId="4" applyFont="1" applyBorder="1" applyAlignment="1"/>
    <xf numFmtId="0" fontId="4" fillId="11" borderId="3" xfId="7" applyFont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0" borderId="3" xfId="6" applyFont="1" applyBorder="1" applyAlignment="1">
      <alignment wrapText="1"/>
    </xf>
    <xf numFmtId="0" fontId="4" fillId="10" borderId="4" xfId="6" applyFont="1" applyBorder="1" applyAlignment="1">
      <alignment vertical="center"/>
    </xf>
    <xf numFmtId="0" fontId="8" fillId="8" borderId="0" xfId="4" applyFont="1" applyAlignment="1">
      <alignment horizontal="left"/>
    </xf>
    <xf numFmtId="0" fontId="4" fillId="11" borderId="0" xfId="7" applyFont="1" applyAlignment="1">
      <alignment horizontal="left"/>
    </xf>
    <xf numFmtId="1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8" fillId="2" borderId="0" xfId="1" applyFont="1" applyAlignment="1">
      <alignment horizontal="left"/>
    </xf>
    <xf numFmtId="0" fontId="8" fillId="7" borderId="0" xfId="0" applyFont="1" applyFill="1" applyAlignment="1">
      <alignment horizontal="left"/>
    </xf>
    <xf numFmtId="0" fontId="8" fillId="10" borderId="0" xfId="6" applyFont="1" applyAlignment="1">
      <alignment horizontal="left"/>
    </xf>
    <xf numFmtId="0" fontId="8" fillId="4" borderId="0" xfId="3" applyFont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4" applyFont="1" applyAlignment="1">
      <alignment horizontal="left"/>
    </xf>
    <xf numFmtId="0" fontId="7" fillId="4" borderId="0" xfId="3" applyFont="1" applyAlignment="1">
      <alignment horizontal="left"/>
    </xf>
    <xf numFmtId="0" fontId="9" fillId="2" borderId="0" xfId="1" applyFont="1" applyAlignment="1">
      <alignment horizontal="left"/>
    </xf>
    <xf numFmtId="0" fontId="10" fillId="3" borderId="0" xfId="2" applyFont="1" applyAlignment="1">
      <alignment horizontal="left"/>
    </xf>
    <xf numFmtId="0" fontId="8" fillId="10" borderId="3" xfId="6" applyFont="1" applyBorder="1" applyAlignment="1">
      <alignment wrapText="1"/>
    </xf>
    <xf numFmtId="0" fontId="8" fillId="10" borderId="4" xfId="6" applyFont="1" applyBorder="1" applyAlignment="1">
      <alignment vertical="center"/>
    </xf>
  </cellXfs>
  <cellStyles count="8">
    <cellStyle name="40% - Accent2" xfId="6" builtinId="35"/>
    <cellStyle name="40% - Accent3" xfId="7" builtinId="39"/>
    <cellStyle name="40% - Accent5" xfId="4" builtinId="47"/>
    <cellStyle name="60% - Accent5" xfId="5" builtinId="4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'Poids et Taille'!$C$2</c:f>
              <c:strCache>
                <c:ptCount val="1"/>
                <c:pt idx="0">
                  <c:v>Poids (kg)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'Poids et Taille'!$B$3:$B$58</c:f>
              <c:numCache>
                <c:formatCode>m/d/yyyy</c:formatCode>
                <c:ptCount val="56"/>
                <c:pt idx="0">
                  <c:v>45791</c:v>
                </c:pt>
                <c:pt idx="1">
                  <c:v>45794</c:v>
                </c:pt>
                <c:pt idx="2">
                  <c:v>45795</c:v>
                </c:pt>
                <c:pt idx="3">
                  <c:v>45796</c:v>
                </c:pt>
                <c:pt idx="4">
                  <c:v>45798</c:v>
                </c:pt>
                <c:pt idx="5">
                  <c:v>45799</c:v>
                </c:pt>
                <c:pt idx="6">
                  <c:v>45802</c:v>
                </c:pt>
                <c:pt idx="7">
                  <c:v>45803</c:v>
                </c:pt>
                <c:pt idx="8">
                  <c:v>45805</c:v>
                </c:pt>
                <c:pt idx="9">
                  <c:v>45808</c:v>
                </c:pt>
                <c:pt idx="10">
                  <c:v>45811</c:v>
                </c:pt>
                <c:pt idx="11">
                  <c:v>45814</c:v>
                </c:pt>
                <c:pt idx="12">
                  <c:v>45816</c:v>
                </c:pt>
                <c:pt idx="13">
                  <c:v>45818</c:v>
                </c:pt>
                <c:pt idx="14">
                  <c:v>45820</c:v>
                </c:pt>
                <c:pt idx="15">
                  <c:v>45823</c:v>
                </c:pt>
                <c:pt idx="16">
                  <c:v>45825</c:v>
                </c:pt>
                <c:pt idx="17">
                  <c:v>45827</c:v>
                </c:pt>
                <c:pt idx="18">
                  <c:v>45829</c:v>
                </c:pt>
                <c:pt idx="19">
                  <c:v>45831</c:v>
                </c:pt>
                <c:pt idx="20">
                  <c:v>45835</c:v>
                </c:pt>
                <c:pt idx="21">
                  <c:v>45840</c:v>
                </c:pt>
                <c:pt idx="22">
                  <c:v>45842</c:v>
                </c:pt>
                <c:pt idx="23">
                  <c:v>45844</c:v>
                </c:pt>
                <c:pt idx="24">
                  <c:v>45851</c:v>
                </c:pt>
                <c:pt idx="25">
                  <c:v>45852</c:v>
                </c:pt>
                <c:pt idx="26">
                  <c:v>45854</c:v>
                </c:pt>
                <c:pt idx="27">
                  <c:v>45857</c:v>
                </c:pt>
                <c:pt idx="28">
                  <c:v>45859</c:v>
                </c:pt>
                <c:pt idx="29">
                  <c:v>45861</c:v>
                </c:pt>
                <c:pt idx="30">
                  <c:v>45866</c:v>
                </c:pt>
                <c:pt idx="31">
                  <c:v>45871</c:v>
                </c:pt>
                <c:pt idx="32">
                  <c:v>45874</c:v>
                </c:pt>
                <c:pt idx="33">
                  <c:v>45880</c:v>
                </c:pt>
                <c:pt idx="34">
                  <c:v>45885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45906</c:v>
                </c:pt>
                <c:pt idx="39">
                  <c:v>45910</c:v>
                </c:pt>
                <c:pt idx="40">
                  <c:v>45914</c:v>
                </c:pt>
                <c:pt idx="41">
                  <c:v>45919</c:v>
                </c:pt>
                <c:pt idx="42">
                  <c:v>45925</c:v>
                </c:pt>
                <c:pt idx="43">
                  <c:v>45940</c:v>
                </c:pt>
                <c:pt idx="44">
                  <c:v>45948</c:v>
                </c:pt>
                <c:pt idx="45">
                  <c:v>45955</c:v>
                </c:pt>
                <c:pt idx="46">
                  <c:v>45957</c:v>
                </c:pt>
                <c:pt idx="47">
                  <c:v>45964</c:v>
                </c:pt>
                <c:pt idx="48">
                  <c:v>45972</c:v>
                </c:pt>
                <c:pt idx="49">
                  <c:v>45978</c:v>
                </c:pt>
                <c:pt idx="50">
                  <c:v>45983</c:v>
                </c:pt>
                <c:pt idx="51">
                  <c:v>45994</c:v>
                </c:pt>
                <c:pt idx="52">
                  <c:v>46002</c:v>
                </c:pt>
                <c:pt idx="53">
                  <c:v>46010</c:v>
                </c:pt>
                <c:pt idx="54">
                  <c:v>46027</c:v>
                </c:pt>
                <c:pt idx="55">
                  <c:v>46035</c:v>
                </c:pt>
              </c:numCache>
            </c:numRef>
          </c:cat>
          <c:val>
            <c:numRef>
              <c:f>'Poids et Taille'!$C$3:$C$58</c:f>
              <c:numCache>
                <c:formatCode>General</c:formatCode>
                <c:ptCount val="56"/>
                <c:pt idx="0">
                  <c:v>3.6</c:v>
                </c:pt>
                <c:pt idx="1">
                  <c:v>3.4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3.55</c:v>
                </c:pt>
                <c:pt idx="6">
                  <c:v>3.65</c:v>
                </c:pt>
                <c:pt idx="7">
                  <c:v>3.72</c:v>
                </c:pt>
                <c:pt idx="8">
                  <c:v>3.8</c:v>
                </c:pt>
                <c:pt idx="9">
                  <c:v>3.85</c:v>
                </c:pt>
                <c:pt idx="10">
                  <c:v>4</c:v>
                </c:pt>
                <c:pt idx="11">
                  <c:v>4</c:v>
                </c:pt>
                <c:pt idx="12">
                  <c:v>4.1500000000000004</c:v>
                </c:pt>
                <c:pt idx="13">
                  <c:v>4.2</c:v>
                </c:pt>
                <c:pt idx="14">
                  <c:v>4.2</c:v>
                </c:pt>
                <c:pt idx="15">
                  <c:v>4.3499999999999996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4.75</c:v>
                </c:pt>
                <c:pt idx="22">
                  <c:v>4.75</c:v>
                </c:pt>
                <c:pt idx="23">
                  <c:v>4.9000000000000004</c:v>
                </c:pt>
                <c:pt idx="24">
                  <c:v>5</c:v>
                </c:pt>
                <c:pt idx="25">
                  <c:v>5</c:v>
                </c:pt>
                <c:pt idx="26">
                  <c:v>5.0999999999999996</c:v>
                </c:pt>
                <c:pt idx="27">
                  <c:v>5.15</c:v>
                </c:pt>
                <c:pt idx="28">
                  <c:v>5.15</c:v>
                </c:pt>
                <c:pt idx="29">
                  <c:v>5.2</c:v>
                </c:pt>
                <c:pt idx="30">
                  <c:v>5.4</c:v>
                </c:pt>
                <c:pt idx="31">
                  <c:v>5.5</c:v>
                </c:pt>
                <c:pt idx="32">
                  <c:v>5.6</c:v>
                </c:pt>
                <c:pt idx="33">
                  <c:v>5.7</c:v>
                </c:pt>
                <c:pt idx="34">
                  <c:v>5.8</c:v>
                </c:pt>
                <c:pt idx="35">
                  <c:v>5.85</c:v>
                </c:pt>
                <c:pt idx="36">
                  <c:v>6</c:v>
                </c:pt>
                <c:pt idx="37">
                  <c:v>6.1</c:v>
                </c:pt>
                <c:pt idx="38">
                  <c:v>6.3</c:v>
                </c:pt>
                <c:pt idx="39">
                  <c:v>6.4</c:v>
                </c:pt>
                <c:pt idx="40">
                  <c:v>6.45</c:v>
                </c:pt>
                <c:pt idx="41">
                  <c:v>6.5</c:v>
                </c:pt>
                <c:pt idx="42">
                  <c:v>6.55</c:v>
                </c:pt>
                <c:pt idx="43">
                  <c:v>7</c:v>
                </c:pt>
                <c:pt idx="44">
                  <c:v>7.05</c:v>
                </c:pt>
                <c:pt idx="45">
                  <c:v>7.2</c:v>
                </c:pt>
                <c:pt idx="46">
                  <c:v>7.35</c:v>
                </c:pt>
                <c:pt idx="47">
                  <c:v>7.45</c:v>
                </c:pt>
                <c:pt idx="48">
                  <c:v>7.6</c:v>
                </c:pt>
                <c:pt idx="49">
                  <c:v>7.75</c:v>
                </c:pt>
                <c:pt idx="50">
                  <c:v>7.8</c:v>
                </c:pt>
                <c:pt idx="51">
                  <c:v>7.9</c:v>
                </c:pt>
                <c:pt idx="52">
                  <c:v>8</c:v>
                </c:pt>
                <c:pt idx="53">
                  <c:v>8.1</c:v>
                </c:pt>
                <c:pt idx="54">
                  <c:v>8.1999999999999993</c:v>
                </c:pt>
                <c:pt idx="55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4-4F43-AF75-E5FBAC48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84895"/>
        <c:axId val="1216185375"/>
      </c:lineChart>
      <c:dateAx>
        <c:axId val="121618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5375"/>
        <c:crosses val="autoZero"/>
        <c:auto val="1"/>
        <c:lblOffset val="100"/>
        <c:baseTimeUnit val="days"/>
      </c:dateAx>
      <c:valAx>
        <c:axId val="1216185375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'Poids et Taille'!$D$2</c:f>
              <c:strCache>
                <c:ptCount val="1"/>
                <c:pt idx="0">
                  <c:v>Taille (cm)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'Poids et Taille'!$B$3:$B$56</c:f>
              <c:numCache>
                <c:formatCode>m/d/yyyy</c:formatCode>
                <c:ptCount val="54"/>
                <c:pt idx="0">
                  <c:v>45791</c:v>
                </c:pt>
                <c:pt idx="1">
                  <c:v>45794</c:v>
                </c:pt>
                <c:pt idx="2">
                  <c:v>45795</c:v>
                </c:pt>
                <c:pt idx="3">
                  <c:v>45796</c:v>
                </c:pt>
                <c:pt idx="4">
                  <c:v>45798</c:v>
                </c:pt>
                <c:pt idx="5">
                  <c:v>45799</c:v>
                </c:pt>
                <c:pt idx="6">
                  <c:v>45802</c:v>
                </c:pt>
                <c:pt idx="7">
                  <c:v>45803</c:v>
                </c:pt>
                <c:pt idx="8">
                  <c:v>45805</c:v>
                </c:pt>
                <c:pt idx="9">
                  <c:v>45808</c:v>
                </c:pt>
                <c:pt idx="10">
                  <c:v>45811</c:v>
                </c:pt>
                <c:pt idx="11">
                  <c:v>45814</c:v>
                </c:pt>
                <c:pt idx="12">
                  <c:v>45816</c:v>
                </c:pt>
                <c:pt idx="13">
                  <c:v>45818</c:v>
                </c:pt>
                <c:pt idx="14">
                  <c:v>45820</c:v>
                </c:pt>
                <c:pt idx="15">
                  <c:v>45823</c:v>
                </c:pt>
                <c:pt idx="16">
                  <c:v>45825</c:v>
                </c:pt>
                <c:pt idx="17">
                  <c:v>45827</c:v>
                </c:pt>
                <c:pt idx="18">
                  <c:v>45829</c:v>
                </c:pt>
                <c:pt idx="19">
                  <c:v>45831</c:v>
                </c:pt>
                <c:pt idx="20">
                  <c:v>45835</c:v>
                </c:pt>
                <c:pt idx="21">
                  <c:v>45840</c:v>
                </c:pt>
                <c:pt idx="22">
                  <c:v>45842</c:v>
                </c:pt>
                <c:pt idx="23">
                  <c:v>45844</c:v>
                </c:pt>
                <c:pt idx="24">
                  <c:v>45851</c:v>
                </c:pt>
                <c:pt idx="25">
                  <c:v>45852</c:v>
                </c:pt>
                <c:pt idx="26">
                  <c:v>45854</c:v>
                </c:pt>
                <c:pt idx="27">
                  <c:v>45857</c:v>
                </c:pt>
                <c:pt idx="28">
                  <c:v>45859</c:v>
                </c:pt>
                <c:pt idx="29">
                  <c:v>45861</c:v>
                </c:pt>
                <c:pt idx="30">
                  <c:v>45866</c:v>
                </c:pt>
                <c:pt idx="31">
                  <c:v>45871</c:v>
                </c:pt>
                <c:pt idx="32">
                  <c:v>45874</c:v>
                </c:pt>
                <c:pt idx="33">
                  <c:v>45880</c:v>
                </c:pt>
                <c:pt idx="34">
                  <c:v>45885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45906</c:v>
                </c:pt>
                <c:pt idx="39">
                  <c:v>45910</c:v>
                </c:pt>
                <c:pt idx="40">
                  <c:v>45914</c:v>
                </c:pt>
                <c:pt idx="41">
                  <c:v>45919</c:v>
                </c:pt>
                <c:pt idx="42">
                  <c:v>45925</c:v>
                </c:pt>
                <c:pt idx="43">
                  <c:v>45940</c:v>
                </c:pt>
                <c:pt idx="44">
                  <c:v>45948</c:v>
                </c:pt>
                <c:pt idx="45">
                  <c:v>45955</c:v>
                </c:pt>
                <c:pt idx="46">
                  <c:v>45957</c:v>
                </c:pt>
                <c:pt idx="47">
                  <c:v>45964</c:v>
                </c:pt>
                <c:pt idx="48">
                  <c:v>45972</c:v>
                </c:pt>
                <c:pt idx="49">
                  <c:v>45978</c:v>
                </c:pt>
                <c:pt idx="50">
                  <c:v>45983</c:v>
                </c:pt>
                <c:pt idx="51">
                  <c:v>45994</c:v>
                </c:pt>
                <c:pt idx="52">
                  <c:v>46002</c:v>
                </c:pt>
                <c:pt idx="53">
                  <c:v>46010</c:v>
                </c:pt>
              </c:numCache>
            </c:numRef>
          </c:cat>
          <c:val>
            <c:numRef>
              <c:f>'Poids et Taille'!$D$3:$D$56</c:f>
              <c:numCache>
                <c:formatCode>General</c:formatCode>
                <c:ptCount val="54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58</c:v>
                </c:pt>
                <c:pt idx="28">
                  <c:v>58</c:v>
                </c:pt>
                <c:pt idx="29">
                  <c:v>58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64</c:v>
                </c:pt>
                <c:pt idx="40">
                  <c:v>65</c:v>
                </c:pt>
                <c:pt idx="44">
                  <c:v>66</c:v>
                </c:pt>
                <c:pt idx="47">
                  <c:v>67</c:v>
                </c:pt>
                <c:pt idx="48">
                  <c:v>67.5</c:v>
                </c:pt>
                <c:pt idx="49">
                  <c:v>70</c:v>
                </c:pt>
                <c:pt idx="5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0-48FC-9E08-CD7F617E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184895"/>
        <c:axId val="1216185375"/>
      </c:lineChart>
      <c:dateAx>
        <c:axId val="121618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5375"/>
        <c:crosses val="autoZero"/>
        <c:auto val="1"/>
        <c:lblOffset val="100"/>
        <c:baseTimeUnit val="days"/>
      </c:dateAx>
      <c:valAx>
        <c:axId val="1216185375"/>
        <c:scaling>
          <c:orientation val="minMax"/>
          <c:max val="7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12</xdr:row>
      <xdr:rowOff>52386</xdr:rowOff>
    </xdr:from>
    <xdr:to>
      <xdr:col>18</xdr:col>
      <xdr:colOff>142875</xdr:colOff>
      <xdr:row>29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96335A-6269-CB8C-F172-DE77CDD9D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161925</xdr:colOff>
      <xdr:row>12</xdr:row>
      <xdr:rowOff>19050</xdr:rowOff>
    </xdr:from>
    <xdr:to>
      <xdr:col>26</xdr:col>
      <xdr:colOff>466725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A1162-9E56-45D5-A11D-F66F58852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D655-22F0-4512-9223-3B3C7B5A66DE}">
  <sheetPr>
    <pageSetUpPr fitToPage="1"/>
  </sheetPr>
  <dimension ref="A1:F58"/>
  <sheetViews>
    <sheetView workbookViewId="0">
      <selection activeCell="L51" sqref="L51"/>
    </sheetView>
  </sheetViews>
  <sheetFormatPr defaultRowHeight="15" x14ac:dyDescent="0.25"/>
  <cols>
    <col min="2" max="4" width="10.42578125" bestFit="1" customWidth="1"/>
    <col min="5" max="5" width="16.5703125" bestFit="1" customWidth="1"/>
  </cols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2"/>
      <c r="B2" s="37" t="s">
        <v>0</v>
      </c>
      <c r="C2" s="37" t="s">
        <v>53</v>
      </c>
      <c r="D2" s="37" t="s">
        <v>52</v>
      </c>
      <c r="E2" s="37" t="s">
        <v>54</v>
      </c>
      <c r="F2" s="2"/>
    </row>
    <row r="3" spans="1:6" x14ac:dyDescent="0.25">
      <c r="A3" s="2"/>
      <c r="B3" s="42">
        <v>45791</v>
      </c>
      <c r="C3" s="43">
        <v>3.6</v>
      </c>
      <c r="D3" s="43">
        <v>51</v>
      </c>
      <c r="E3" s="43">
        <v>36</v>
      </c>
      <c r="F3" s="2"/>
    </row>
    <row r="4" spans="1:6" x14ac:dyDescent="0.25">
      <c r="A4" s="2"/>
      <c r="B4" s="42">
        <v>45794</v>
      </c>
      <c r="C4" s="43">
        <v>3.4</v>
      </c>
      <c r="D4" s="43">
        <v>51</v>
      </c>
      <c r="E4" s="43"/>
      <c r="F4" s="2"/>
    </row>
    <row r="5" spans="1:6" x14ac:dyDescent="0.25">
      <c r="A5" s="2"/>
      <c r="B5" s="42">
        <v>45795</v>
      </c>
      <c r="C5" s="43">
        <v>3.5</v>
      </c>
      <c r="D5" s="43">
        <v>51</v>
      </c>
      <c r="E5" s="43"/>
      <c r="F5" s="2"/>
    </row>
    <row r="6" spans="1:6" x14ac:dyDescent="0.25">
      <c r="A6" s="2"/>
      <c r="B6" s="42">
        <v>45796</v>
      </c>
      <c r="C6" s="43">
        <v>3.5</v>
      </c>
      <c r="D6" s="43">
        <v>52</v>
      </c>
      <c r="E6" s="43"/>
      <c r="F6" s="2"/>
    </row>
    <row r="7" spans="1:6" x14ac:dyDescent="0.25">
      <c r="A7" s="2"/>
      <c r="B7" s="42">
        <v>45798</v>
      </c>
      <c r="C7" s="43">
        <v>3.5</v>
      </c>
      <c r="D7" s="43">
        <v>52</v>
      </c>
      <c r="E7" s="43"/>
      <c r="F7" s="2"/>
    </row>
    <row r="8" spans="1:6" x14ac:dyDescent="0.25">
      <c r="A8" s="2"/>
      <c r="B8" s="42">
        <v>45799</v>
      </c>
      <c r="C8" s="43">
        <v>3.55</v>
      </c>
      <c r="D8" s="43">
        <v>52</v>
      </c>
      <c r="E8" s="43"/>
      <c r="F8" s="2"/>
    </row>
    <row r="9" spans="1:6" x14ac:dyDescent="0.25">
      <c r="A9" s="2"/>
      <c r="B9" s="42">
        <v>45802</v>
      </c>
      <c r="C9" s="43">
        <v>3.65</v>
      </c>
      <c r="D9" s="43">
        <v>52</v>
      </c>
      <c r="E9" s="43"/>
      <c r="F9" s="2"/>
    </row>
    <row r="10" spans="1:6" x14ac:dyDescent="0.25">
      <c r="A10" s="2"/>
      <c r="B10" s="42">
        <v>45803</v>
      </c>
      <c r="C10" s="43">
        <v>3.72</v>
      </c>
      <c r="D10" s="43">
        <v>52</v>
      </c>
      <c r="E10" s="43"/>
      <c r="F10" s="2"/>
    </row>
    <row r="11" spans="1:6" x14ac:dyDescent="0.25">
      <c r="A11" s="2"/>
      <c r="B11" s="42">
        <v>45805</v>
      </c>
      <c r="C11" s="43">
        <v>3.8</v>
      </c>
      <c r="D11" s="43">
        <v>53</v>
      </c>
      <c r="E11" s="43"/>
      <c r="F11" s="2"/>
    </row>
    <row r="12" spans="1:6" x14ac:dyDescent="0.25">
      <c r="A12" s="2"/>
      <c r="B12" s="42">
        <v>45808</v>
      </c>
      <c r="C12" s="43">
        <v>3.85</v>
      </c>
      <c r="D12" s="43">
        <v>53</v>
      </c>
      <c r="E12" s="43"/>
      <c r="F12" s="2"/>
    </row>
    <row r="13" spans="1:6" x14ac:dyDescent="0.25">
      <c r="A13" s="2"/>
      <c r="B13" s="42">
        <v>45811</v>
      </c>
      <c r="C13" s="43">
        <v>4</v>
      </c>
      <c r="D13" s="43">
        <v>53</v>
      </c>
      <c r="E13" s="43"/>
      <c r="F13" s="2"/>
    </row>
    <row r="14" spans="1:6" x14ac:dyDescent="0.25">
      <c r="A14" s="2"/>
      <c r="B14" s="42">
        <v>45814</v>
      </c>
      <c r="C14" s="43">
        <v>4</v>
      </c>
      <c r="D14" s="43">
        <v>53</v>
      </c>
      <c r="E14" s="43"/>
      <c r="F14" s="2"/>
    </row>
    <row r="15" spans="1:6" x14ac:dyDescent="0.25">
      <c r="A15" s="2"/>
      <c r="B15" s="42">
        <v>45816</v>
      </c>
      <c r="C15" s="43">
        <v>4.1500000000000004</v>
      </c>
      <c r="D15" s="43">
        <v>53</v>
      </c>
      <c r="E15" s="43"/>
      <c r="F15" s="2"/>
    </row>
    <row r="16" spans="1:6" x14ac:dyDescent="0.25">
      <c r="A16" s="2"/>
      <c r="B16" s="42">
        <v>45818</v>
      </c>
      <c r="C16" s="43">
        <v>4.2</v>
      </c>
      <c r="D16" s="43">
        <v>54</v>
      </c>
      <c r="E16" s="43"/>
      <c r="F16" s="2"/>
    </row>
    <row r="17" spans="1:6" x14ac:dyDescent="0.25">
      <c r="A17" s="2"/>
      <c r="B17" s="42">
        <v>45820</v>
      </c>
      <c r="C17" s="43">
        <v>4.2</v>
      </c>
      <c r="D17" s="43">
        <v>54</v>
      </c>
      <c r="E17" s="43"/>
      <c r="F17" s="2"/>
    </row>
    <row r="18" spans="1:6" x14ac:dyDescent="0.25">
      <c r="A18" s="2"/>
      <c r="B18" s="42">
        <v>45823</v>
      </c>
      <c r="C18" s="43">
        <v>4.3499999999999996</v>
      </c>
      <c r="D18" s="43">
        <v>54</v>
      </c>
      <c r="E18" s="43"/>
      <c r="F18" s="2"/>
    </row>
    <row r="19" spans="1:6" x14ac:dyDescent="0.25">
      <c r="A19" s="2"/>
      <c r="B19" s="42">
        <v>45825</v>
      </c>
      <c r="C19" s="43">
        <v>4.3499999999999996</v>
      </c>
      <c r="D19" s="43">
        <v>54</v>
      </c>
      <c r="E19" s="43"/>
      <c r="F19" s="2"/>
    </row>
    <row r="20" spans="1:6" x14ac:dyDescent="0.25">
      <c r="A20" s="2"/>
      <c r="B20" s="42">
        <v>45827</v>
      </c>
      <c r="C20" s="43">
        <v>4.4000000000000004</v>
      </c>
      <c r="D20" s="43">
        <v>55</v>
      </c>
      <c r="E20" s="43"/>
      <c r="F20" s="2"/>
    </row>
    <row r="21" spans="1:6" x14ac:dyDescent="0.25">
      <c r="A21" s="2"/>
      <c r="B21" s="42">
        <v>45829</v>
      </c>
      <c r="C21" s="43">
        <v>4.4000000000000004</v>
      </c>
      <c r="D21" s="43">
        <v>55</v>
      </c>
      <c r="E21" s="43"/>
      <c r="F21" s="2"/>
    </row>
    <row r="22" spans="1:6" x14ac:dyDescent="0.25">
      <c r="A22" s="2"/>
      <c r="B22" s="42">
        <v>45831</v>
      </c>
      <c r="C22" s="43">
        <v>4.5999999999999996</v>
      </c>
      <c r="D22" s="43">
        <v>55</v>
      </c>
      <c r="E22" s="43"/>
      <c r="F22" s="2"/>
    </row>
    <row r="23" spans="1:6" x14ac:dyDescent="0.25">
      <c r="A23" s="2"/>
      <c r="B23" s="42">
        <v>45835</v>
      </c>
      <c r="C23" s="43">
        <v>4.7</v>
      </c>
      <c r="D23" s="43">
        <v>55</v>
      </c>
      <c r="E23" s="43"/>
      <c r="F23" s="2"/>
    </row>
    <row r="24" spans="1:6" x14ac:dyDescent="0.25">
      <c r="A24" s="2"/>
      <c r="B24" s="42">
        <v>45840</v>
      </c>
      <c r="C24" s="43">
        <v>4.75</v>
      </c>
      <c r="D24" s="43">
        <v>56</v>
      </c>
      <c r="E24" s="43"/>
      <c r="F24" s="2"/>
    </row>
    <row r="25" spans="1:6" x14ac:dyDescent="0.25">
      <c r="A25" s="2"/>
      <c r="B25" s="42">
        <v>45842</v>
      </c>
      <c r="C25" s="43">
        <v>4.75</v>
      </c>
      <c r="D25" s="43">
        <v>56</v>
      </c>
      <c r="E25" s="43"/>
      <c r="F25" s="2"/>
    </row>
    <row r="26" spans="1:6" x14ac:dyDescent="0.25">
      <c r="A26" s="2"/>
      <c r="B26" s="42">
        <v>45844</v>
      </c>
      <c r="C26" s="43">
        <v>4.9000000000000004</v>
      </c>
      <c r="D26" s="43">
        <v>56</v>
      </c>
      <c r="E26" s="43"/>
      <c r="F26" s="2"/>
    </row>
    <row r="27" spans="1:6" x14ac:dyDescent="0.25">
      <c r="A27" s="2"/>
      <c r="B27" s="42">
        <v>45851</v>
      </c>
      <c r="C27" s="43">
        <v>5</v>
      </c>
      <c r="D27" s="43">
        <v>57</v>
      </c>
      <c r="E27" s="43"/>
      <c r="F27" s="2"/>
    </row>
    <row r="28" spans="1:6" x14ac:dyDescent="0.25">
      <c r="A28" s="2"/>
      <c r="B28" s="42">
        <v>45852</v>
      </c>
      <c r="C28" s="43">
        <v>5</v>
      </c>
      <c r="D28" s="43">
        <v>57</v>
      </c>
      <c r="E28" s="43"/>
      <c r="F28" s="2"/>
    </row>
    <row r="29" spans="1:6" x14ac:dyDescent="0.25">
      <c r="A29" s="2"/>
      <c r="B29" s="42">
        <v>45854</v>
      </c>
      <c r="C29" s="43">
        <v>5.0999999999999996</v>
      </c>
      <c r="D29" s="43">
        <v>57</v>
      </c>
      <c r="E29" s="43"/>
      <c r="F29" s="2"/>
    </row>
    <row r="30" spans="1:6" x14ac:dyDescent="0.25">
      <c r="A30" s="2"/>
      <c r="B30" s="42">
        <v>45857</v>
      </c>
      <c r="C30" s="43">
        <v>5.15</v>
      </c>
      <c r="D30" s="43">
        <v>58</v>
      </c>
      <c r="E30" s="43"/>
      <c r="F30" s="2"/>
    </row>
    <row r="31" spans="1:6" x14ac:dyDescent="0.25">
      <c r="A31" s="2"/>
      <c r="B31" s="42">
        <v>45859</v>
      </c>
      <c r="C31" s="43">
        <v>5.15</v>
      </c>
      <c r="D31" s="43">
        <v>58</v>
      </c>
      <c r="E31" s="43"/>
      <c r="F31" s="2"/>
    </row>
    <row r="32" spans="1:6" x14ac:dyDescent="0.25">
      <c r="A32" s="2"/>
      <c r="B32" s="42">
        <v>45861</v>
      </c>
      <c r="C32" s="43">
        <v>5.2</v>
      </c>
      <c r="D32" s="43">
        <v>58</v>
      </c>
      <c r="E32" s="43"/>
      <c r="F32" s="2"/>
    </row>
    <row r="33" spans="1:6" x14ac:dyDescent="0.25">
      <c r="A33" s="2"/>
      <c r="B33" s="42">
        <v>45866</v>
      </c>
      <c r="C33" s="43">
        <v>5.4</v>
      </c>
      <c r="D33" s="43">
        <v>59</v>
      </c>
      <c r="E33" s="43"/>
      <c r="F33" s="2"/>
    </row>
    <row r="34" spans="1:6" x14ac:dyDescent="0.25">
      <c r="A34" s="2"/>
      <c r="B34" s="42">
        <v>45871</v>
      </c>
      <c r="C34" s="43">
        <v>5.5</v>
      </c>
      <c r="D34" s="43">
        <v>59</v>
      </c>
      <c r="E34" s="43"/>
      <c r="F34" s="2"/>
    </row>
    <row r="35" spans="1:6" x14ac:dyDescent="0.25">
      <c r="A35" s="2"/>
      <c r="B35" s="42">
        <v>45874</v>
      </c>
      <c r="C35" s="43">
        <v>5.6</v>
      </c>
      <c r="D35" s="43">
        <v>59</v>
      </c>
      <c r="E35" s="43">
        <v>39.5</v>
      </c>
      <c r="F35" s="2"/>
    </row>
    <row r="36" spans="1:6" x14ac:dyDescent="0.25">
      <c r="A36" s="2"/>
      <c r="B36" s="42">
        <v>45880</v>
      </c>
      <c r="C36" s="43">
        <v>5.7</v>
      </c>
      <c r="D36" s="43">
        <v>59</v>
      </c>
      <c r="E36" s="43"/>
      <c r="F36" s="2"/>
    </row>
    <row r="37" spans="1:6" x14ac:dyDescent="0.25">
      <c r="A37" s="2"/>
      <c r="B37" s="42">
        <v>45885</v>
      </c>
      <c r="C37" s="43">
        <v>5.8</v>
      </c>
      <c r="D37" s="43">
        <v>60</v>
      </c>
      <c r="E37" s="43"/>
      <c r="F37" s="2"/>
    </row>
    <row r="38" spans="1:6" x14ac:dyDescent="0.25">
      <c r="A38" s="2"/>
      <c r="B38" s="42">
        <v>45887</v>
      </c>
      <c r="C38" s="43">
        <v>5.85</v>
      </c>
      <c r="D38" s="43">
        <v>60</v>
      </c>
      <c r="E38" s="43"/>
      <c r="F38" s="2"/>
    </row>
    <row r="39" spans="1:6" x14ac:dyDescent="0.25">
      <c r="A39" s="2"/>
      <c r="B39" s="42">
        <v>45894</v>
      </c>
      <c r="C39" s="43">
        <v>6</v>
      </c>
      <c r="D39" s="43">
        <v>60</v>
      </c>
      <c r="E39" s="43"/>
      <c r="F39" s="2"/>
    </row>
    <row r="40" spans="1:6" x14ac:dyDescent="0.25">
      <c r="A40" s="2"/>
      <c r="B40" s="42">
        <v>45901</v>
      </c>
      <c r="C40" s="43">
        <v>6.1</v>
      </c>
      <c r="D40" s="43">
        <v>61</v>
      </c>
      <c r="E40" s="43">
        <v>41</v>
      </c>
      <c r="F40" s="2"/>
    </row>
    <row r="41" spans="1:6" x14ac:dyDescent="0.25">
      <c r="A41" s="2"/>
      <c r="B41" s="42">
        <v>45906</v>
      </c>
      <c r="C41" s="43">
        <v>6.3</v>
      </c>
      <c r="D41" s="43">
        <v>62</v>
      </c>
      <c r="E41" s="43"/>
      <c r="F41" s="2"/>
    </row>
    <row r="42" spans="1:6" x14ac:dyDescent="0.25">
      <c r="A42" s="2"/>
      <c r="B42" s="42">
        <v>45910</v>
      </c>
      <c r="C42" s="43">
        <v>6.4</v>
      </c>
      <c r="D42" s="43">
        <v>64</v>
      </c>
      <c r="E42" s="43">
        <v>41.5</v>
      </c>
      <c r="F42" s="2"/>
    </row>
    <row r="43" spans="1:6" x14ac:dyDescent="0.25">
      <c r="A43" s="2"/>
      <c r="B43" s="42">
        <v>45914</v>
      </c>
      <c r="C43" s="43">
        <v>6.45</v>
      </c>
      <c r="D43" s="43">
        <v>65</v>
      </c>
      <c r="E43" s="43">
        <v>41.6</v>
      </c>
      <c r="F43" s="2"/>
    </row>
    <row r="44" spans="1:6" x14ac:dyDescent="0.25">
      <c r="A44" s="2"/>
      <c r="B44" s="42">
        <v>45919</v>
      </c>
      <c r="C44" s="43">
        <v>6.5</v>
      </c>
      <c r="D44" s="43"/>
      <c r="E44" s="43"/>
      <c r="F44" s="2"/>
    </row>
    <row r="45" spans="1:6" x14ac:dyDescent="0.25">
      <c r="B45" s="42">
        <v>45925</v>
      </c>
      <c r="C45" s="43">
        <v>6.55</v>
      </c>
      <c r="D45" s="43"/>
      <c r="E45" s="43"/>
    </row>
    <row r="46" spans="1:6" x14ac:dyDescent="0.25">
      <c r="B46" s="42">
        <v>45940</v>
      </c>
      <c r="C46" s="43">
        <v>7</v>
      </c>
      <c r="D46" s="43"/>
      <c r="E46" s="43">
        <v>43.2</v>
      </c>
    </row>
    <row r="47" spans="1:6" x14ac:dyDescent="0.25">
      <c r="B47" s="42">
        <v>45948</v>
      </c>
      <c r="C47" s="43">
        <v>7.05</v>
      </c>
      <c r="D47" s="43">
        <v>66</v>
      </c>
      <c r="E47" s="43"/>
    </row>
    <row r="48" spans="1:6" x14ac:dyDescent="0.25">
      <c r="B48" s="42">
        <v>45955</v>
      </c>
      <c r="C48" s="43">
        <v>7.2</v>
      </c>
      <c r="D48" s="54"/>
      <c r="E48" s="54"/>
    </row>
    <row r="49" spans="2:5" x14ac:dyDescent="0.25">
      <c r="B49" s="42">
        <v>45957</v>
      </c>
      <c r="C49" s="43">
        <v>7.35</v>
      </c>
      <c r="D49" s="43"/>
      <c r="E49" s="43"/>
    </row>
    <row r="50" spans="2:5" x14ac:dyDescent="0.25">
      <c r="B50" s="42">
        <v>45964</v>
      </c>
      <c r="C50" s="43">
        <v>7.45</v>
      </c>
      <c r="D50" s="43">
        <v>67</v>
      </c>
      <c r="E50" s="43"/>
    </row>
    <row r="51" spans="2:5" x14ac:dyDescent="0.25">
      <c r="B51" s="42">
        <v>45972</v>
      </c>
      <c r="C51" s="43">
        <v>7.6</v>
      </c>
      <c r="D51" s="43">
        <v>67.5</v>
      </c>
      <c r="E51" s="43">
        <v>43.8</v>
      </c>
    </row>
    <row r="52" spans="2:5" x14ac:dyDescent="0.25">
      <c r="B52" s="42">
        <v>45978</v>
      </c>
      <c r="C52" s="43">
        <v>7.75</v>
      </c>
      <c r="D52" s="43">
        <v>70</v>
      </c>
      <c r="E52" s="43"/>
    </row>
    <row r="53" spans="2:5" x14ac:dyDescent="0.25">
      <c r="B53" s="42">
        <v>45983</v>
      </c>
      <c r="C53" s="43">
        <v>7.8</v>
      </c>
      <c r="D53" s="43"/>
      <c r="E53" s="43"/>
    </row>
    <row r="54" spans="2:5" x14ac:dyDescent="0.25">
      <c r="B54" s="42">
        <v>45994</v>
      </c>
      <c r="C54" s="43">
        <v>7.9</v>
      </c>
      <c r="D54" s="43"/>
      <c r="E54" s="43"/>
    </row>
    <row r="55" spans="2:5" x14ac:dyDescent="0.25">
      <c r="B55" s="42">
        <v>46002</v>
      </c>
      <c r="C55" s="43">
        <v>8</v>
      </c>
      <c r="D55" s="43"/>
      <c r="E55" s="43"/>
    </row>
    <row r="56" spans="2:5" x14ac:dyDescent="0.25">
      <c r="B56" s="42">
        <v>46010</v>
      </c>
      <c r="C56" s="43">
        <v>8.1</v>
      </c>
      <c r="D56" s="43">
        <v>71</v>
      </c>
      <c r="E56" s="43">
        <v>45</v>
      </c>
    </row>
    <row r="57" spans="2:5" x14ac:dyDescent="0.25">
      <c r="B57" s="42">
        <v>46027</v>
      </c>
      <c r="C57" s="43">
        <v>8.1999999999999993</v>
      </c>
      <c r="D57" s="43"/>
      <c r="E57" s="43"/>
    </row>
    <row r="58" spans="2:5" x14ac:dyDescent="0.25">
      <c r="B58" s="42">
        <v>46035</v>
      </c>
      <c r="C58" s="43">
        <v>8.35</v>
      </c>
      <c r="D58" s="43"/>
      <c r="E58" s="4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8E31-B62A-47D9-B765-269632AF4BCD}">
  <sheetPr>
    <pageSetUpPr fitToPage="1"/>
  </sheetPr>
  <dimension ref="A1:U526"/>
  <sheetViews>
    <sheetView tabSelected="1" topLeftCell="A168" workbookViewId="0">
      <selection activeCell="N179" sqref="N179:N182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5703125" bestFit="1" customWidth="1"/>
    <col min="5" max="5" width="12.140625" bestFit="1" customWidth="1"/>
    <col min="6" max="6" width="13.5703125" bestFit="1" customWidth="1"/>
    <col min="7" max="7" width="12.140625" bestFit="1" customWidth="1"/>
    <col min="8" max="8" width="13.5703125" bestFit="1" customWidth="1"/>
    <col min="9" max="9" width="13.140625" bestFit="1" customWidth="1"/>
    <col min="10" max="10" width="13.5703125" bestFit="1" customWidth="1"/>
    <col min="11" max="11" width="12.140625" bestFit="1" customWidth="1"/>
    <col min="12" max="12" width="13.5703125" bestFit="1" customWidth="1"/>
    <col min="13" max="13" width="13.140625" bestFit="1" customWidth="1"/>
    <col min="14" max="14" width="13.5703125" bestFit="1" customWidth="1"/>
    <col min="15" max="15" width="12.140625" bestFit="1" customWidth="1"/>
    <col min="16" max="16" width="18.28515625" style="68" bestFit="1" customWidth="1"/>
    <col min="17" max="17" width="12.140625" style="65" bestFit="1" customWidth="1"/>
    <col min="18" max="18" width="13.5703125" style="65" bestFit="1" customWidth="1"/>
    <col min="19" max="19" width="12.140625" bestFit="1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6"/>
      <c r="Q1" s="64"/>
      <c r="R1" s="64"/>
      <c r="S1" s="2"/>
      <c r="T1" s="2"/>
    </row>
    <row r="2" spans="1:20" ht="15.75" thickBot="1" x14ac:dyDescent="0.3">
      <c r="A2" s="2"/>
      <c r="B2" s="1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66"/>
      <c r="Q2" s="64"/>
      <c r="R2" s="64"/>
      <c r="S2" s="2"/>
      <c r="T2" s="2"/>
    </row>
    <row r="3" spans="1:20" x14ac:dyDescent="0.25">
      <c r="A3" s="2"/>
      <c r="B3" s="73">
        <v>45867</v>
      </c>
      <c r="C3" s="74"/>
      <c r="D3" s="73">
        <v>45868</v>
      </c>
      <c r="E3" s="74"/>
      <c r="F3" s="73">
        <v>45869</v>
      </c>
      <c r="G3" s="74"/>
      <c r="H3" s="73">
        <v>45870</v>
      </c>
      <c r="I3" s="74"/>
      <c r="J3" s="73">
        <v>45871</v>
      </c>
      <c r="K3" s="74"/>
      <c r="L3" s="73">
        <v>45872</v>
      </c>
      <c r="M3" s="74"/>
      <c r="N3" s="73">
        <v>45873</v>
      </c>
      <c r="O3" s="74"/>
      <c r="P3" s="66"/>
      <c r="Q3" s="64"/>
      <c r="R3" s="64"/>
      <c r="S3" s="2"/>
      <c r="T3" s="2"/>
    </row>
    <row r="4" spans="1:20" x14ac:dyDescent="0.25">
      <c r="A4" s="2"/>
      <c r="B4" s="3" t="s">
        <v>11</v>
      </c>
      <c r="C4" s="4" t="s">
        <v>12</v>
      </c>
      <c r="D4" s="3" t="s">
        <v>11</v>
      </c>
      <c r="E4" s="4" t="s">
        <v>12</v>
      </c>
      <c r="F4" s="3" t="s">
        <v>11</v>
      </c>
      <c r="G4" s="4" t="s">
        <v>12</v>
      </c>
      <c r="H4" s="3" t="s">
        <v>11</v>
      </c>
      <c r="I4" s="4" t="s">
        <v>12</v>
      </c>
      <c r="J4" s="3" t="s">
        <v>11</v>
      </c>
      <c r="K4" s="4" t="s">
        <v>12</v>
      </c>
      <c r="L4" s="3" t="s">
        <v>11</v>
      </c>
      <c r="M4" s="4" t="s">
        <v>12</v>
      </c>
      <c r="N4" s="3" t="s">
        <v>11</v>
      </c>
      <c r="O4" s="4" t="s">
        <v>12</v>
      </c>
      <c r="P4" s="66"/>
      <c r="Q4" s="64"/>
      <c r="R4" s="64"/>
      <c r="S4" s="2"/>
      <c r="T4" s="2"/>
    </row>
    <row r="5" spans="1:20" x14ac:dyDescent="0.25">
      <c r="A5" s="2"/>
      <c r="B5" s="5">
        <v>60</v>
      </c>
      <c r="C5" s="6">
        <v>2.0833333333333332E-2</v>
      </c>
      <c r="D5" s="7">
        <v>110</v>
      </c>
      <c r="E5" s="6">
        <v>0</v>
      </c>
      <c r="F5" s="8">
        <v>60</v>
      </c>
      <c r="G5" s="9">
        <v>2.0833333333333332E-2</v>
      </c>
      <c r="H5" s="7">
        <v>60</v>
      </c>
      <c r="I5" s="9">
        <v>0</v>
      </c>
      <c r="J5" s="8">
        <v>30</v>
      </c>
      <c r="K5" s="9">
        <v>0</v>
      </c>
      <c r="L5" s="8">
        <v>120</v>
      </c>
      <c r="M5" s="9">
        <v>0.21875</v>
      </c>
      <c r="N5" s="8">
        <v>120</v>
      </c>
      <c r="O5" s="9">
        <v>2.0833333333333332E-2</v>
      </c>
      <c r="P5" s="66"/>
      <c r="Q5" s="64"/>
      <c r="R5" s="64"/>
      <c r="S5" s="2"/>
      <c r="T5" s="2"/>
    </row>
    <row r="6" spans="1:20" x14ac:dyDescent="0.25">
      <c r="A6" s="2"/>
      <c r="B6" s="5">
        <v>30</v>
      </c>
      <c r="C6" s="6">
        <v>6.25E-2</v>
      </c>
      <c r="D6" s="5">
        <v>90</v>
      </c>
      <c r="E6" s="6">
        <v>0.20833333333333334</v>
      </c>
      <c r="F6" s="8">
        <v>120</v>
      </c>
      <c r="G6" s="9">
        <v>0.22916666666666666</v>
      </c>
      <c r="H6" s="8">
        <v>60</v>
      </c>
      <c r="I6" s="9">
        <v>3.125E-2</v>
      </c>
      <c r="J6" s="8">
        <v>120</v>
      </c>
      <c r="K6" s="9">
        <v>0.23958333333333334</v>
      </c>
      <c r="L6" s="5">
        <v>90</v>
      </c>
      <c r="M6" s="9">
        <v>0.36458333333333331</v>
      </c>
      <c r="N6" s="8">
        <v>90</v>
      </c>
      <c r="O6" s="9">
        <v>0.19791666666666666</v>
      </c>
      <c r="P6" s="66"/>
      <c r="Q6" s="64"/>
      <c r="R6" s="64"/>
      <c r="S6" s="2"/>
      <c r="T6" s="2"/>
    </row>
    <row r="7" spans="1:20" x14ac:dyDescent="0.25">
      <c r="A7" s="2"/>
      <c r="B7" s="5">
        <v>90</v>
      </c>
      <c r="C7" s="6">
        <v>0.27083333333333331</v>
      </c>
      <c r="D7" s="5">
        <v>90</v>
      </c>
      <c r="E7" s="6">
        <v>0.35416666666666669</v>
      </c>
      <c r="F7" s="5">
        <v>90</v>
      </c>
      <c r="G7" s="9">
        <v>0.3125</v>
      </c>
      <c r="H7" s="5">
        <v>120</v>
      </c>
      <c r="I7" s="9">
        <v>0.23958333333333334</v>
      </c>
      <c r="J7" s="5">
        <v>90</v>
      </c>
      <c r="K7" s="9">
        <v>0.375</v>
      </c>
      <c r="L7" s="5">
        <v>30</v>
      </c>
      <c r="M7" s="9">
        <v>0.47916666666666669</v>
      </c>
      <c r="N7" s="5">
        <v>120</v>
      </c>
      <c r="O7" s="9">
        <v>0.32291666666666669</v>
      </c>
      <c r="P7" s="66"/>
      <c r="Q7" s="64"/>
      <c r="R7" s="64"/>
      <c r="S7" s="2"/>
      <c r="T7" s="2"/>
    </row>
    <row r="8" spans="1:20" x14ac:dyDescent="0.25">
      <c r="A8" s="2"/>
      <c r="B8" s="5">
        <v>120</v>
      </c>
      <c r="C8" s="6">
        <v>0.375</v>
      </c>
      <c r="D8" s="5">
        <v>120</v>
      </c>
      <c r="E8" s="6">
        <v>0.625</v>
      </c>
      <c r="F8" s="5">
        <v>60</v>
      </c>
      <c r="G8" s="9">
        <v>0.39583333333333331</v>
      </c>
      <c r="H8" s="5">
        <v>90</v>
      </c>
      <c r="I8" s="9">
        <v>0.35416666666666669</v>
      </c>
      <c r="J8" s="5">
        <v>90</v>
      </c>
      <c r="K8" s="9">
        <v>0.5625</v>
      </c>
      <c r="L8" s="5">
        <v>60</v>
      </c>
      <c r="M8" s="9">
        <v>0.60416666666666663</v>
      </c>
      <c r="N8" s="5">
        <v>80</v>
      </c>
      <c r="O8" s="9">
        <v>0.4375</v>
      </c>
      <c r="P8" s="66"/>
      <c r="Q8" s="83" t="s">
        <v>81</v>
      </c>
      <c r="R8" s="83"/>
      <c r="S8" s="2"/>
      <c r="T8" s="2"/>
    </row>
    <row r="9" spans="1:20" x14ac:dyDescent="0.25">
      <c r="A9" s="2"/>
      <c r="B9" s="5">
        <v>90</v>
      </c>
      <c r="C9" s="6">
        <v>0.5625</v>
      </c>
      <c r="D9" s="8">
        <v>60</v>
      </c>
      <c r="E9" s="6">
        <v>0.72916666666666663</v>
      </c>
      <c r="F9" s="5">
        <v>90</v>
      </c>
      <c r="G9" s="9">
        <v>0.52083333333333337</v>
      </c>
      <c r="H9" s="5">
        <v>80</v>
      </c>
      <c r="I9" s="9">
        <v>0.58333333333333337</v>
      </c>
      <c r="J9" s="5">
        <v>90</v>
      </c>
      <c r="K9" s="9">
        <v>0.67708333333333337</v>
      </c>
      <c r="L9" s="5">
        <v>50</v>
      </c>
      <c r="M9" s="9">
        <v>0.69791666666666663</v>
      </c>
      <c r="N9" s="5">
        <v>60</v>
      </c>
      <c r="O9" s="9">
        <v>0.65625</v>
      </c>
      <c r="P9" s="66"/>
      <c r="Q9" s="81" t="s">
        <v>82</v>
      </c>
      <c r="R9" s="81"/>
      <c r="S9" s="2"/>
      <c r="T9" s="2"/>
    </row>
    <row r="10" spans="1:20" x14ac:dyDescent="0.25">
      <c r="A10" s="2"/>
      <c r="B10" s="7">
        <v>90</v>
      </c>
      <c r="C10" s="10">
        <v>0.6875</v>
      </c>
      <c r="D10" s="8">
        <v>60</v>
      </c>
      <c r="E10" s="10">
        <v>0.79166666666666663</v>
      </c>
      <c r="F10" s="7">
        <v>90</v>
      </c>
      <c r="G10" s="9">
        <v>0.60416666666666663</v>
      </c>
      <c r="H10" s="7">
        <v>120</v>
      </c>
      <c r="I10" s="9">
        <v>0.83333333333333337</v>
      </c>
      <c r="J10" s="8">
        <v>90</v>
      </c>
      <c r="K10" s="9">
        <v>0.79166666666666663</v>
      </c>
      <c r="L10" s="11"/>
      <c r="M10" s="12"/>
      <c r="N10" s="5">
        <v>60</v>
      </c>
      <c r="O10" s="9">
        <v>0.73958333333333337</v>
      </c>
      <c r="P10" s="66"/>
      <c r="Q10" s="82" t="s">
        <v>83</v>
      </c>
      <c r="R10" s="82"/>
      <c r="S10" s="2"/>
      <c r="T10" s="2"/>
    </row>
    <row r="11" spans="1:20" x14ac:dyDescent="0.25">
      <c r="A11" s="2"/>
      <c r="B11" s="8">
        <v>70</v>
      </c>
      <c r="C11" s="13">
        <v>0.83333333333333337</v>
      </c>
      <c r="D11" s="7">
        <v>70</v>
      </c>
      <c r="E11" s="13">
        <v>0.9375</v>
      </c>
      <c r="F11" s="7">
        <v>70</v>
      </c>
      <c r="G11" s="9">
        <v>0.8125</v>
      </c>
      <c r="H11" s="8">
        <v>90</v>
      </c>
      <c r="I11" s="9">
        <v>0.95833333333333337</v>
      </c>
      <c r="J11" s="8">
        <v>70</v>
      </c>
      <c r="K11" s="9">
        <v>0.95833333333333337</v>
      </c>
      <c r="L11" s="11"/>
      <c r="M11" s="12"/>
      <c r="N11" s="8">
        <v>60</v>
      </c>
      <c r="O11" s="9">
        <v>0.89583333333333337</v>
      </c>
      <c r="P11" s="66"/>
      <c r="Q11" s="79" t="s">
        <v>84</v>
      </c>
      <c r="R11" s="79"/>
      <c r="S11" s="79"/>
      <c r="T11" s="79"/>
    </row>
    <row r="12" spans="1:20" x14ac:dyDescent="0.25">
      <c r="A12" s="2"/>
      <c r="B12" s="11"/>
      <c r="C12" s="13"/>
      <c r="D12" s="14"/>
      <c r="E12" s="13"/>
      <c r="F12" s="14"/>
      <c r="G12" s="9"/>
      <c r="H12" s="11"/>
      <c r="I12" s="9"/>
      <c r="J12" s="11"/>
      <c r="K12" s="9"/>
      <c r="L12" s="11"/>
      <c r="M12" s="12"/>
      <c r="N12" s="7">
        <v>60</v>
      </c>
      <c r="O12" s="9">
        <v>0.94791666666666663</v>
      </c>
      <c r="P12" s="66"/>
      <c r="Q12" s="64"/>
      <c r="R12" s="64"/>
      <c r="S12" s="2"/>
      <c r="T12" s="2"/>
    </row>
    <row r="13" spans="1:20" x14ac:dyDescent="0.25">
      <c r="A13" s="2"/>
      <c r="B13" s="15"/>
      <c r="C13" s="16"/>
      <c r="D13" s="17"/>
      <c r="E13" s="16"/>
      <c r="F13" s="17"/>
      <c r="G13" s="18"/>
      <c r="H13" s="15"/>
      <c r="I13" s="18"/>
      <c r="J13" s="15"/>
      <c r="K13" s="9"/>
      <c r="L13" s="11"/>
      <c r="M13" s="12"/>
      <c r="N13" s="19"/>
      <c r="O13" s="12"/>
      <c r="P13" s="66"/>
      <c r="Q13" s="64"/>
      <c r="R13" s="64"/>
      <c r="S13" s="2"/>
      <c r="T13" s="2"/>
    </row>
    <row r="14" spans="1:20" x14ac:dyDescent="0.25">
      <c r="A14" s="2"/>
      <c r="B14" s="15"/>
      <c r="C14" s="16"/>
      <c r="D14" s="17"/>
      <c r="E14" s="16"/>
      <c r="F14" s="17"/>
      <c r="G14" s="18"/>
      <c r="H14" s="15"/>
      <c r="I14" s="18"/>
      <c r="J14" s="15"/>
      <c r="K14" s="9"/>
      <c r="L14" s="11"/>
      <c r="M14" s="12"/>
      <c r="N14" s="17"/>
      <c r="O14" s="18"/>
      <c r="P14" s="66"/>
      <c r="Q14" s="64"/>
      <c r="R14" s="64"/>
      <c r="S14" s="2"/>
      <c r="T14" s="2"/>
    </row>
    <row r="15" spans="1:20" x14ac:dyDescent="0.25">
      <c r="A15" s="2"/>
      <c r="B15" s="40"/>
      <c r="C15" s="12"/>
      <c r="D15" s="40"/>
      <c r="E15" s="20"/>
      <c r="F15" s="50" t="s">
        <v>85</v>
      </c>
      <c r="G15" s="12" t="s">
        <v>1</v>
      </c>
      <c r="H15" s="50" t="s">
        <v>85</v>
      </c>
      <c r="I15" s="21" t="s">
        <v>16</v>
      </c>
      <c r="J15" s="50" t="s">
        <v>85</v>
      </c>
      <c r="K15" s="46" t="s">
        <v>2</v>
      </c>
      <c r="L15" s="50" t="s">
        <v>85</v>
      </c>
      <c r="M15" s="46" t="s">
        <v>3</v>
      </c>
      <c r="N15" s="50" t="s">
        <v>85</v>
      </c>
      <c r="O15" s="46" t="s">
        <v>7</v>
      </c>
      <c r="P15" s="66"/>
      <c r="Q15" s="64"/>
      <c r="R15" s="64"/>
      <c r="S15" s="2"/>
      <c r="T15" s="2"/>
    </row>
    <row r="16" spans="1:20" x14ac:dyDescent="0.25">
      <c r="A16" s="2"/>
      <c r="B16" s="19"/>
      <c r="C16" s="12"/>
      <c r="D16" s="19"/>
      <c r="E16" s="12"/>
      <c r="F16" s="19"/>
      <c r="G16" s="12"/>
      <c r="H16" s="50" t="s">
        <v>85</v>
      </c>
      <c r="I16" s="12" t="s">
        <v>7</v>
      </c>
      <c r="J16" s="50" t="s">
        <v>85</v>
      </c>
      <c r="K16" s="12" t="s">
        <v>15</v>
      </c>
      <c r="L16" s="50" t="s">
        <v>85</v>
      </c>
      <c r="M16" s="12" t="s">
        <v>4</v>
      </c>
      <c r="N16" s="50" t="s">
        <v>85</v>
      </c>
      <c r="O16" s="12" t="s">
        <v>8</v>
      </c>
      <c r="P16" s="66"/>
      <c r="Q16" s="64"/>
      <c r="R16" s="64"/>
      <c r="S16" s="2"/>
      <c r="T16" s="2"/>
    </row>
    <row r="17" spans="1:20" x14ac:dyDescent="0.25">
      <c r="A17" s="2"/>
      <c r="B17" s="19"/>
      <c r="C17" s="12"/>
      <c r="D17" s="19"/>
      <c r="E17" s="12"/>
      <c r="F17" s="19"/>
      <c r="G17" s="12"/>
      <c r="H17" s="19"/>
      <c r="I17" s="12"/>
      <c r="J17" s="19"/>
      <c r="K17" s="12"/>
      <c r="L17" s="50" t="s">
        <v>85</v>
      </c>
      <c r="M17" s="12" t="s">
        <v>5</v>
      </c>
      <c r="N17" s="50" t="s">
        <v>85</v>
      </c>
      <c r="O17" s="12" t="s">
        <v>9</v>
      </c>
      <c r="P17" s="66"/>
      <c r="Q17" s="64"/>
      <c r="R17" s="64"/>
      <c r="S17" s="2"/>
      <c r="T17" s="2"/>
    </row>
    <row r="18" spans="1:20" x14ac:dyDescent="0.25">
      <c r="A18" s="2"/>
      <c r="B18" s="19"/>
      <c r="C18" s="12"/>
      <c r="D18" s="19"/>
      <c r="E18" s="12"/>
      <c r="F18" s="19"/>
      <c r="G18" s="12"/>
      <c r="H18" s="19"/>
      <c r="I18" s="12"/>
      <c r="J18" s="19"/>
      <c r="K18" s="12"/>
      <c r="L18" s="50" t="s">
        <v>85</v>
      </c>
      <c r="M18" s="12" t="s">
        <v>6</v>
      </c>
      <c r="N18" s="50" t="s">
        <v>85</v>
      </c>
      <c r="O18" s="12" t="s">
        <v>10</v>
      </c>
      <c r="P18" s="66"/>
      <c r="Q18" s="64"/>
      <c r="R18" s="64"/>
      <c r="S18" s="2"/>
      <c r="T18" s="2"/>
    </row>
    <row r="19" spans="1:20" x14ac:dyDescent="0.25">
      <c r="A19" s="2"/>
      <c r="B19" s="19"/>
      <c r="C19" s="12"/>
      <c r="D19" s="19"/>
      <c r="E19" s="12"/>
      <c r="F19" s="23">
        <v>45</v>
      </c>
      <c r="G19" s="12"/>
      <c r="H19" s="23">
        <v>135</v>
      </c>
      <c r="I19" s="12"/>
      <c r="J19" s="23">
        <v>90</v>
      </c>
      <c r="K19" s="12"/>
      <c r="L19" s="23">
        <v>180</v>
      </c>
      <c r="M19" s="12"/>
      <c r="N19" s="23">
        <v>180</v>
      </c>
      <c r="O19" s="12"/>
      <c r="P19" s="66"/>
      <c r="Q19" s="64"/>
      <c r="R19" s="64"/>
      <c r="S19" s="2"/>
      <c r="T19" s="2"/>
    </row>
    <row r="20" spans="1:20" x14ac:dyDescent="0.25">
      <c r="A20" s="2"/>
      <c r="B20" s="19"/>
      <c r="C20" s="12"/>
      <c r="D20" s="19"/>
      <c r="E20" s="12"/>
      <c r="F20" s="19"/>
      <c r="G20" s="12"/>
      <c r="H20" s="19"/>
      <c r="I20" s="12"/>
      <c r="J20" s="19"/>
      <c r="K20" s="12"/>
      <c r="L20" s="19"/>
      <c r="M20" s="12"/>
      <c r="N20" s="19"/>
      <c r="O20" s="12"/>
      <c r="P20" s="66"/>
      <c r="Q20" s="64"/>
      <c r="R20" s="64"/>
      <c r="S20" s="2"/>
      <c r="T20" s="2"/>
    </row>
    <row r="21" spans="1:20" x14ac:dyDescent="0.25">
      <c r="A21" s="2"/>
      <c r="B21" s="24" t="s">
        <v>13</v>
      </c>
      <c r="C21" s="12"/>
      <c r="D21" s="24" t="s">
        <v>13</v>
      </c>
      <c r="E21" s="12"/>
      <c r="F21" s="24" t="s">
        <v>13</v>
      </c>
      <c r="G21" s="12"/>
      <c r="H21" s="24" t="s">
        <v>13</v>
      </c>
      <c r="I21" s="12"/>
      <c r="J21" s="24" t="s">
        <v>13</v>
      </c>
      <c r="K21" s="12"/>
      <c r="L21" s="24" t="s">
        <v>13</v>
      </c>
      <c r="M21" s="12"/>
      <c r="N21" s="24" t="s">
        <v>13</v>
      </c>
      <c r="O21" s="12"/>
      <c r="P21" s="66" t="s">
        <v>67</v>
      </c>
      <c r="Q21" s="64"/>
      <c r="R21" s="64"/>
      <c r="S21" s="2"/>
      <c r="T21" s="2"/>
    </row>
    <row r="22" spans="1:20" ht="15.75" thickBot="1" x14ac:dyDescent="0.3">
      <c r="A22" s="2"/>
      <c r="B22" s="25">
        <f>SUM(B5:B11)</f>
        <v>550</v>
      </c>
      <c r="C22" s="26"/>
      <c r="D22" s="25">
        <f>SUM(D5:D11)</f>
        <v>600</v>
      </c>
      <c r="E22" s="26"/>
      <c r="F22" s="25">
        <f>SUM(F5:F11)+F19</f>
        <v>625</v>
      </c>
      <c r="G22" s="26"/>
      <c r="H22" s="25">
        <f>SUM(H5:H11)+H19</f>
        <v>755</v>
      </c>
      <c r="I22" s="26"/>
      <c r="J22" s="25">
        <f>SUM(J5:J11)+J19</f>
        <v>670</v>
      </c>
      <c r="K22" s="26"/>
      <c r="L22" s="25">
        <f>SUM(L5:L11)+L19</f>
        <v>530</v>
      </c>
      <c r="M22" s="26"/>
      <c r="N22" s="25">
        <f>SUM(N5:N12)+N19</f>
        <v>830</v>
      </c>
      <c r="O22" s="26"/>
      <c r="P22" s="67">
        <f>SUM(B22:O22)/7</f>
        <v>651.42857142857144</v>
      </c>
      <c r="Q22" s="64"/>
      <c r="R22" s="64"/>
      <c r="S22" s="2"/>
      <c r="T22" s="2"/>
    </row>
    <row r="23" spans="1:20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66"/>
      <c r="Q23" s="64"/>
      <c r="R23" s="64"/>
      <c r="S23" s="2"/>
      <c r="T23" s="2"/>
    </row>
    <row r="24" spans="1:20" x14ac:dyDescent="0.25">
      <c r="A24" s="2"/>
      <c r="B24" s="73">
        <v>45874</v>
      </c>
      <c r="C24" s="74"/>
      <c r="D24" s="73">
        <v>45875</v>
      </c>
      <c r="E24" s="74"/>
      <c r="F24" s="73">
        <v>45876</v>
      </c>
      <c r="G24" s="74"/>
      <c r="H24" s="73">
        <v>45877</v>
      </c>
      <c r="I24" s="74"/>
      <c r="J24" s="73">
        <v>45878</v>
      </c>
      <c r="K24" s="74"/>
      <c r="L24" s="73">
        <v>45879</v>
      </c>
      <c r="M24" s="74"/>
      <c r="N24" s="73">
        <v>45880</v>
      </c>
      <c r="O24" s="74"/>
      <c r="P24" s="66"/>
      <c r="Q24" s="64"/>
      <c r="R24" s="64"/>
      <c r="S24" s="2"/>
      <c r="T24" s="2"/>
    </row>
    <row r="25" spans="1:20" x14ac:dyDescent="0.25">
      <c r="A25" s="2"/>
      <c r="B25" s="3" t="s">
        <v>11</v>
      </c>
      <c r="C25" s="4" t="s">
        <v>12</v>
      </c>
      <c r="D25" s="3" t="s">
        <v>11</v>
      </c>
      <c r="E25" s="4" t="s">
        <v>12</v>
      </c>
      <c r="F25" s="3" t="s">
        <v>11</v>
      </c>
      <c r="G25" s="4" t="s">
        <v>12</v>
      </c>
      <c r="H25" s="3" t="s">
        <v>11</v>
      </c>
      <c r="I25" s="4" t="s">
        <v>12</v>
      </c>
      <c r="J25" s="3" t="s">
        <v>11</v>
      </c>
      <c r="K25" s="4" t="s">
        <v>12</v>
      </c>
      <c r="L25" s="3" t="s">
        <v>11</v>
      </c>
      <c r="M25" s="4" t="s">
        <v>12</v>
      </c>
      <c r="N25" s="3" t="s">
        <v>11</v>
      </c>
      <c r="O25" s="4" t="s">
        <v>12</v>
      </c>
      <c r="P25" s="66"/>
      <c r="Q25" s="64"/>
      <c r="R25" s="64"/>
      <c r="S25" s="2"/>
      <c r="T25" s="2"/>
    </row>
    <row r="26" spans="1:20" x14ac:dyDescent="0.25">
      <c r="A26" s="2"/>
      <c r="B26" s="8">
        <v>60</v>
      </c>
      <c r="C26" s="9">
        <v>0.20833333333333334</v>
      </c>
      <c r="D26" s="8">
        <v>120</v>
      </c>
      <c r="E26" s="9">
        <v>0.21875</v>
      </c>
      <c r="F26" s="8">
        <v>120</v>
      </c>
      <c r="G26" s="9">
        <v>0.22916666666666666</v>
      </c>
      <c r="H26" s="8">
        <v>120</v>
      </c>
      <c r="I26" s="9">
        <v>0.23958333333333334</v>
      </c>
      <c r="J26" s="5">
        <v>120</v>
      </c>
      <c r="K26" s="9">
        <v>0.125</v>
      </c>
      <c r="L26" s="5">
        <v>90</v>
      </c>
      <c r="M26" s="9">
        <v>1.0416666666666666E-2</v>
      </c>
      <c r="N26" s="8">
        <v>120</v>
      </c>
      <c r="O26" s="9">
        <v>0.21875</v>
      </c>
      <c r="P26" s="66"/>
      <c r="Q26" s="64"/>
      <c r="R26" s="64"/>
      <c r="S26" s="2"/>
      <c r="T26" s="2"/>
    </row>
    <row r="27" spans="1:20" x14ac:dyDescent="0.25">
      <c r="A27" s="2"/>
      <c r="B27" s="8">
        <v>60</v>
      </c>
      <c r="C27" s="9">
        <v>0.32291666666666669</v>
      </c>
      <c r="D27" s="7">
        <v>90</v>
      </c>
      <c r="E27" s="9">
        <v>0.35416666666666669</v>
      </c>
      <c r="F27" s="5">
        <v>120</v>
      </c>
      <c r="G27" s="9">
        <v>0.375</v>
      </c>
      <c r="H27" s="5">
        <v>100</v>
      </c>
      <c r="I27" s="9">
        <v>0.375</v>
      </c>
      <c r="J27" s="5">
        <v>100</v>
      </c>
      <c r="K27" s="9">
        <v>0.29166666666666669</v>
      </c>
      <c r="L27" s="5">
        <v>120</v>
      </c>
      <c r="M27" s="9">
        <v>0.16666666666666666</v>
      </c>
      <c r="N27" s="5">
        <v>120</v>
      </c>
      <c r="O27" s="9">
        <v>0.32291666666666669</v>
      </c>
      <c r="P27" s="66"/>
      <c r="Q27" s="64"/>
      <c r="R27" s="64"/>
      <c r="S27" s="2"/>
      <c r="T27" s="2"/>
    </row>
    <row r="28" spans="1:20" x14ac:dyDescent="0.25">
      <c r="A28" s="2"/>
      <c r="B28" s="5">
        <v>120</v>
      </c>
      <c r="C28" s="9">
        <v>0.44791666666666669</v>
      </c>
      <c r="D28" s="8">
        <v>90</v>
      </c>
      <c r="E28" s="9">
        <v>0.41666666666666669</v>
      </c>
      <c r="F28" s="5">
        <v>120</v>
      </c>
      <c r="G28" s="9">
        <v>0.47916666666666669</v>
      </c>
      <c r="H28" s="7">
        <v>80</v>
      </c>
      <c r="I28" s="9">
        <v>0.5</v>
      </c>
      <c r="J28" s="5">
        <v>90</v>
      </c>
      <c r="K28" s="9">
        <v>0.61458333333333337</v>
      </c>
      <c r="L28" s="5">
        <v>120</v>
      </c>
      <c r="M28" s="9">
        <v>0.28125</v>
      </c>
      <c r="N28" s="5">
        <v>60</v>
      </c>
      <c r="O28" s="9">
        <v>0.42708333333333331</v>
      </c>
      <c r="P28" s="66"/>
      <c r="Q28" s="64"/>
      <c r="R28" s="64"/>
      <c r="S28" s="2"/>
      <c r="T28" s="2"/>
    </row>
    <row r="29" spans="1:20" ht="17.25" customHeight="1" x14ac:dyDescent="0.25">
      <c r="A29" s="2"/>
      <c r="B29" s="5">
        <v>90</v>
      </c>
      <c r="C29" s="9">
        <v>0.64583333333333337</v>
      </c>
      <c r="D29" s="8">
        <v>60</v>
      </c>
      <c r="E29" s="9">
        <v>0.5625</v>
      </c>
      <c r="F29" s="5">
        <v>60</v>
      </c>
      <c r="G29" s="9">
        <v>0.67708333333333337</v>
      </c>
      <c r="H29" s="5">
        <v>60</v>
      </c>
      <c r="I29" s="9">
        <v>0.72916666666666663</v>
      </c>
      <c r="J29" s="5">
        <v>50</v>
      </c>
      <c r="K29" s="9">
        <v>0.72916666666666663</v>
      </c>
      <c r="L29" s="5">
        <v>60</v>
      </c>
      <c r="M29" s="9">
        <v>0.375</v>
      </c>
      <c r="N29" s="5">
        <v>60</v>
      </c>
      <c r="O29" s="9">
        <v>0.48958333333333331</v>
      </c>
      <c r="P29" s="66"/>
      <c r="Q29" s="83" t="s">
        <v>81</v>
      </c>
      <c r="R29" s="83"/>
      <c r="S29" s="2"/>
      <c r="T29" s="2"/>
    </row>
    <row r="30" spans="1:20" x14ac:dyDescent="0.25">
      <c r="A30" s="2"/>
      <c r="B30" s="7">
        <v>60</v>
      </c>
      <c r="C30" s="9">
        <v>0.77083333333333337</v>
      </c>
      <c r="D30" s="8">
        <v>90</v>
      </c>
      <c r="E30" s="9">
        <v>0.625</v>
      </c>
      <c r="F30" s="5">
        <v>60</v>
      </c>
      <c r="G30" s="9">
        <v>0.75</v>
      </c>
      <c r="H30" s="5">
        <v>70</v>
      </c>
      <c r="I30" s="9">
        <v>0.79166666666666663</v>
      </c>
      <c r="J30" s="5">
        <v>50</v>
      </c>
      <c r="K30" s="9">
        <v>0.83333333333333337</v>
      </c>
      <c r="L30" s="5">
        <v>60</v>
      </c>
      <c r="M30" s="9">
        <v>0.41666666666666669</v>
      </c>
      <c r="N30" s="5">
        <v>60</v>
      </c>
      <c r="O30" s="9">
        <v>0.53125</v>
      </c>
      <c r="P30" s="66"/>
      <c r="Q30" s="81" t="s">
        <v>82</v>
      </c>
      <c r="R30" s="81"/>
      <c r="S30" s="2"/>
      <c r="T30" s="2"/>
    </row>
    <row r="31" spans="1:20" x14ac:dyDescent="0.25">
      <c r="A31" s="2"/>
      <c r="B31" s="5">
        <v>60</v>
      </c>
      <c r="C31" s="9">
        <v>0.8125</v>
      </c>
      <c r="D31" s="5">
        <v>90</v>
      </c>
      <c r="E31" s="9">
        <v>0.75</v>
      </c>
      <c r="F31" s="8">
        <v>60</v>
      </c>
      <c r="G31" s="9">
        <v>0.83333333333333337</v>
      </c>
      <c r="H31" s="5">
        <v>60</v>
      </c>
      <c r="I31" s="9">
        <v>0.91666666666666663</v>
      </c>
      <c r="J31" s="5">
        <v>120</v>
      </c>
      <c r="K31" s="9">
        <v>0.86458333333333337</v>
      </c>
      <c r="L31" s="5">
        <v>90</v>
      </c>
      <c r="M31" s="9">
        <v>0.59375</v>
      </c>
      <c r="N31" s="5">
        <v>60</v>
      </c>
      <c r="O31" s="9">
        <v>0.57291666666666663</v>
      </c>
      <c r="P31" s="66"/>
      <c r="Q31" s="82" t="s">
        <v>83</v>
      </c>
      <c r="R31" s="82"/>
      <c r="S31" s="2"/>
      <c r="T31" s="2"/>
    </row>
    <row r="32" spans="1:20" x14ac:dyDescent="0.25">
      <c r="A32" s="2"/>
      <c r="B32" s="8">
        <v>60</v>
      </c>
      <c r="C32" s="9">
        <v>0.89583333333333337</v>
      </c>
      <c r="D32" s="8">
        <v>140</v>
      </c>
      <c r="E32" s="9">
        <v>0.91666666666666663</v>
      </c>
      <c r="F32" s="7">
        <v>60</v>
      </c>
      <c r="G32" s="9">
        <v>0.89583333333333337</v>
      </c>
      <c r="H32" s="27" t="s">
        <v>24</v>
      </c>
      <c r="I32" s="9"/>
      <c r="J32" s="5">
        <v>60</v>
      </c>
      <c r="K32" s="9">
        <v>0.95833333333333337</v>
      </c>
      <c r="L32" s="5">
        <v>70</v>
      </c>
      <c r="M32" s="9">
        <v>0.73958333333333337</v>
      </c>
      <c r="N32" s="5">
        <v>30</v>
      </c>
      <c r="O32" s="9">
        <v>0.66666666666666663</v>
      </c>
      <c r="P32" s="66"/>
      <c r="Q32" s="79" t="s">
        <v>84</v>
      </c>
      <c r="R32" s="79"/>
      <c r="S32" s="79"/>
      <c r="T32" s="79"/>
    </row>
    <row r="33" spans="1:20" x14ac:dyDescent="0.25">
      <c r="A33" s="2"/>
      <c r="B33" s="8">
        <v>30</v>
      </c>
      <c r="C33" s="9">
        <v>0.95833333333333337</v>
      </c>
      <c r="D33" s="11"/>
      <c r="E33" s="9"/>
      <c r="F33" s="11"/>
      <c r="G33" s="9"/>
      <c r="H33" s="11"/>
      <c r="I33" s="9"/>
      <c r="J33" s="11"/>
      <c r="K33" s="9"/>
      <c r="L33" s="7">
        <v>60</v>
      </c>
      <c r="M33" s="9">
        <v>0.9375</v>
      </c>
      <c r="N33" s="5">
        <v>120</v>
      </c>
      <c r="O33" s="9">
        <v>0.75</v>
      </c>
      <c r="P33" s="66"/>
      <c r="Q33" s="64"/>
      <c r="R33" s="64"/>
      <c r="S33" s="2"/>
      <c r="T33" s="2"/>
    </row>
    <row r="34" spans="1:20" x14ac:dyDescent="0.25">
      <c r="A34" s="2"/>
      <c r="B34" s="15"/>
      <c r="C34" s="9"/>
      <c r="D34" s="15"/>
      <c r="E34" s="9"/>
      <c r="F34" s="15"/>
      <c r="G34" s="9"/>
      <c r="H34" s="15"/>
      <c r="I34" s="9"/>
      <c r="J34" s="15"/>
      <c r="K34" s="9"/>
      <c r="L34" s="7">
        <v>60</v>
      </c>
      <c r="M34" s="9">
        <v>0.96875</v>
      </c>
      <c r="N34" s="8">
        <v>90</v>
      </c>
      <c r="O34" s="9">
        <v>0.83333333333333337</v>
      </c>
      <c r="P34" s="66"/>
      <c r="Q34" s="64"/>
      <c r="R34" s="64"/>
      <c r="S34" s="2"/>
      <c r="T34" s="2"/>
    </row>
    <row r="35" spans="1:20" x14ac:dyDescent="0.25">
      <c r="A35" s="2"/>
      <c r="B35" s="15"/>
      <c r="C35" s="9"/>
      <c r="D35" s="15"/>
      <c r="E35" s="9"/>
      <c r="F35" s="15"/>
      <c r="G35" s="9"/>
      <c r="H35" s="15"/>
      <c r="I35" s="9"/>
      <c r="J35" s="15"/>
      <c r="K35" s="9"/>
      <c r="L35" s="8">
        <v>60</v>
      </c>
      <c r="M35" s="9">
        <v>0.98958333333333337</v>
      </c>
      <c r="N35" s="19"/>
      <c r="O35" s="12"/>
      <c r="P35" s="66"/>
      <c r="Q35" s="64"/>
      <c r="R35" s="64"/>
      <c r="S35" s="2"/>
      <c r="T35" s="2"/>
    </row>
    <row r="36" spans="1:20" x14ac:dyDescent="0.25">
      <c r="A36" s="2"/>
      <c r="B36" s="50" t="s">
        <v>85</v>
      </c>
      <c r="C36" s="46" t="s">
        <v>9</v>
      </c>
      <c r="D36" s="50" t="s">
        <v>85</v>
      </c>
      <c r="E36" s="46" t="s">
        <v>17</v>
      </c>
      <c r="F36" s="50" t="s">
        <v>85</v>
      </c>
      <c r="G36" s="46" t="s">
        <v>19</v>
      </c>
      <c r="H36" s="50" t="s">
        <v>85</v>
      </c>
      <c r="I36" s="46" t="s">
        <v>23</v>
      </c>
      <c r="J36" s="50" t="s">
        <v>85</v>
      </c>
      <c r="K36" s="46" t="s">
        <v>21</v>
      </c>
      <c r="L36" s="50" t="s">
        <v>85</v>
      </c>
      <c r="M36" s="46" t="s">
        <v>3</v>
      </c>
      <c r="N36" s="50" t="s">
        <v>85</v>
      </c>
      <c r="O36" s="46" t="s">
        <v>28</v>
      </c>
      <c r="P36" s="66"/>
      <c r="Q36" s="64"/>
      <c r="R36" s="64"/>
      <c r="S36" s="2"/>
      <c r="T36" s="2"/>
    </row>
    <row r="37" spans="1:20" x14ac:dyDescent="0.25">
      <c r="A37" s="2"/>
      <c r="B37" s="40"/>
      <c r="C37" s="20"/>
      <c r="D37" s="50" t="s">
        <v>85</v>
      </c>
      <c r="E37" s="20" t="s">
        <v>18</v>
      </c>
      <c r="F37" s="50" t="s">
        <v>85</v>
      </c>
      <c r="G37" s="20" t="s">
        <v>18</v>
      </c>
      <c r="H37" s="50" t="s">
        <v>85</v>
      </c>
      <c r="I37" s="20" t="s">
        <v>25</v>
      </c>
      <c r="J37" s="50" t="s">
        <v>85</v>
      </c>
      <c r="K37" s="20" t="s">
        <v>20</v>
      </c>
      <c r="L37" s="50" t="s">
        <v>85</v>
      </c>
      <c r="M37" s="28" t="s">
        <v>27</v>
      </c>
      <c r="N37" s="50" t="s">
        <v>85</v>
      </c>
      <c r="O37" s="28" t="s">
        <v>29</v>
      </c>
      <c r="P37" s="66"/>
      <c r="Q37" s="64"/>
      <c r="R37" s="64"/>
      <c r="S37" s="2"/>
      <c r="T37" s="2"/>
    </row>
    <row r="38" spans="1:20" x14ac:dyDescent="0.25">
      <c r="A38" s="2"/>
      <c r="B38" s="40"/>
      <c r="C38" s="20"/>
      <c r="D38" s="40"/>
      <c r="E38" s="20"/>
      <c r="F38" s="40"/>
      <c r="G38" s="20"/>
      <c r="H38" s="50" t="s">
        <v>85</v>
      </c>
      <c r="I38" s="20" t="s">
        <v>26</v>
      </c>
      <c r="J38" s="50" t="s">
        <v>85</v>
      </c>
      <c r="K38" s="20" t="s">
        <v>22</v>
      </c>
      <c r="L38" s="50" t="s">
        <v>85</v>
      </c>
      <c r="M38" s="20" t="s">
        <v>25</v>
      </c>
      <c r="N38" s="40"/>
      <c r="O38" s="20"/>
      <c r="P38" s="66"/>
      <c r="Q38" s="64"/>
      <c r="R38" s="64"/>
      <c r="S38" s="2"/>
      <c r="T38" s="2"/>
    </row>
    <row r="39" spans="1:20" x14ac:dyDescent="0.25">
      <c r="A39" s="2"/>
      <c r="B39" s="40"/>
      <c r="C39" s="20"/>
      <c r="D39" s="40"/>
      <c r="E39" s="20"/>
      <c r="F39" s="40"/>
      <c r="G39" s="20"/>
      <c r="H39" s="40"/>
      <c r="I39" s="20"/>
      <c r="J39" s="40"/>
      <c r="K39" s="20"/>
      <c r="L39" s="50" t="s">
        <v>85</v>
      </c>
      <c r="M39" s="20" t="s">
        <v>6</v>
      </c>
      <c r="N39" s="40"/>
      <c r="O39" s="20"/>
      <c r="P39" s="66"/>
      <c r="Q39" s="64"/>
      <c r="R39" s="64"/>
      <c r="S39" s="2"/>
      <c r="T39" s="2"/>
    </row>
    <row r="40" spans="1:20" x14ac:dyDescent="0.25">
      <c r="A40" s="2"/>
      <c r="B40" s="23">
        <v>45</v>
      </c>
      <c r="C40" s="12"/>
      <c r="D40" s="23">
        <v>90</v>
      </c>
      <c r="E40" s="12"/>
      <c r="F40" s="23">
        <v>90</v>
      </c>
      <c r="G40" s="12"/>
      <c r="H40" s="23">
        <v>135</v>
      </c>
      <c r="I40" s="12"/>
      <c r="J40" s="23">
        <v>180</v>
      </c>
      <c r="K40" s="12"/>
      <c r="L40" s="23">
        <v>180</v>
      </c>
      <c r="M40" s="12"/>
      <c r="N40" s="23">
        <v>90</v>
      </c>
      <c r="O40" s="12"/>
      <c r="P40" s="66"/>
      <c r="Q40" s="64"/>
      <c r="R40" s="64"/>
      <c r="S40" s="2"/>
      <c r="T40" s="2"/>
    </row>
    <row r="41" spans="1:20" x14ac:dyDescent="0.25">
      <c r="A41" s="2"/>
      <c r="B41" s="19"/>
      <c r="C41" s="12"/>
      <c r="D41" s="19"/>
      <c r="E41" s="12"/>
      <c r="F41" s="19"/>
      <c r="G41" s="12"/>
      <c r="H41" s="19"/>
      <c r="I41" s="12"/>
      <c r="J41" s="19"/>
      <c r="K41" s="12"/>
      <c r="L41" s="19"/>
      <c r="M41" s="12"/>
      <c r="N41" s="19"/>
      <c r="O41" s="12"/>
      <c r="P41" s="66"/>
      <c r="Q41" s="64"/>
      <c r="R41" s="64"/>
      <c r="S41" s="2"/>
      <c r="T41" s="2"/>
    </row>
    <row r="42" spans="1:20" x14ac:dyDescent="0.25">
      <c r="A42" s="2"/>
      <c r="B42" s="24" t="s">
        <v>13</v>
      </c>
      <c r="C42" s="12"/>
      <c r="D42" s="24" t="s">
        <v>13</v>
      </c>
      <c r="E42" s="12"/>
      <c r="F42" s="24" t="s">
        <v>13</v>
      </c>
      <c r="G42" s="12"/>
      <c r="H42" s="24" t="s">
        <v>13</v>
      </c>
      <c r="I42" s="12"/>
      <c r="J42" s="24" t="s">
        <v>13</v>
      </c>
      <c r="K42" s="12"/>
      <c r="L42" s="24" t="s">
        <v>13</v>
      </c>
      <c r="M42" s="12"/>
      <c r="N42" s="24" t="s">
        <v>13</v>
      </c>
      <c r="O42" s="12"/>
      <c r="P42" s="66" t="s">
        <v>67</v>
      </c>
      <c r="Q42" s="64"/>
      <c r="R42" s="64"/>
      <c r="S42" s="2"/>
      <c r="T42" s="2"/>
    </row>
    <row r="43" spans="1:20" ht="15.75" thickBot="1" x14ac:dyDescent="0.3">
      <c r="A43" s="2"/>
      <c r="B43" s="25">
        <f>SUM(B26:B33)+B40</f>
        <v>585</v>
      </c>
      <c r="C43" s="26"/>
      <c r="D43" s="25">
        <f>SUM(D26:D32)+D40</f>
        <v>770</v>
      </c>
      <c r="E43" s="26"/>
      <c r="F43" s="25">
        <f>SUM(F26:F32)+F40</f>
        <v>690</v>
      </c>
      <c r="G43" s="26"/>
      <c r="H43" s="25">
        <f>SUM(H26:H32)+H40</f>
        <v>625</v>
      </c>
      <c r="I43" s="26"/>
      <c r="J43" s="25">
        <f>SUM(J26:J32)+J40</f>
        <v>770</v>
      </c>
      <c r="K43" s="26"/>
      <c r="L43" s="25">
        <f>SUM(L26:L35)+L40</f>
        <v>970</v>
      </c>
      <c r="M43" s="26"/>
      <c r="N43" s="25">
        <f>SUM(N26:N34)+N40</f>
        <v>810</v>
      </c>
      <c r="O43" s="26"/>
      <c r="P43" s="67">
        <f>SUM(B43:O43)/7</f>
        <v>745.71428571428567</v>
      </c>
      <c r="Q43" s="64"/>
      <c r="R43" s="64"/>
      <c r="S43" s="2"/>
      <c r="T43" s="2"/>
    </row>
    <row r="44" spans="1:20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66"/>
      <c r="Q44" s="64"/>
      <c r="R44" s="64"/>
      <c r="S44" s="2"/>
      <c r="T44" s="2"/>
    </row>
    <row r="45" spans="1:20" x14ac:dyDescent="0.25">
      <c r="A45" s="2"/>
      <c r="B45" s="73">
        <v>45881</v>
      </c>
      <c r="C45" s="74"/>
      <c r="D45" s="73">
        <v>45882</v>
      </c>
      <c r="E45" s="74"/>
      <c r="F45" s="73">
        <v>45883</v>
      </c>
      <c r="G45" s="74"/>
      <c r="H45" s="73">
        <v>45884</v>
      </c>
      <c r="I45" s="74"/>
      <c r="J45" s="73">
        <v>45885</v>
      </c>
      <c r="K45" s="74"/>
      <c r="L45" s="73">
        <v>45886</v>
      </c>
      <c r="M45" s="74"/>
      <c r="N45" s="73">
        <v>45887</v>
      </c>
      <c r="O45" s="74"/>
      <c r="P45" s="66"/>
      <c r="Q45" s="64"/>
      <c r="R45" s="64"/>
      <c r="S45" s="2"/>
      <c r="T45" s="2"/>
    </row>
    <row r="46" spans="1:20" x14ac:dyDescent="0.25">
      <c r="A46" s="2"/>
      <c r="B46" s="3" t="s">
        <v>11</v>
      </c>
      <c r="C46" s="4" t="s">
        <v>12</v>
      </c>
      <c r="D46" s="3" t="s">
        <v>11</v>
      </c>
      <c r="E46" s="4" t="s">
        <v>12</v>
      </c>
      <c r="F46" s="3" t="s">
        <v>11</v>
      </c>
      <c r="G46" s="4" t="s">
        <v>12</v>
      </c>
      <c r="H46" s="3" t="s">
        <v>11</v>
      </c>
      <c r="I46" s="4" t="s">
        <v>12</v>
      </c>
      <c r="J46" s="3" t="s">
        <v>11</v>
      </c>
      <c r="K46" s="4" t="s">
        <v>12</v>
      </c>
      <c r="L46" s="3" t="s">
        <v>11</v>
      </c>
      <c r="M46" s="4" t="s">
        <v>12</v>
      </c>
      <c r="N46" s="3" t="s">
        <v>11</v>
      </c>
      <c r="O46" s="4" t="s">
        <v>12</v>
      </c>
      <c r="P46" s="66"/>
      <c r="Q46" s="64"/>
      <c r="R46" s="64"/>
      <c r="S46" s="2"/>
      <c r="T46" s="2"/>
    </row>
    <row r="47" spans="1:20" x14ac:dyDescent="0.25">
      <c r="A47" s="2"/>
      <c r="B47" s="8">
        <v>120</v>
      </c>
      <c r="C47" s="9">
        <v>0.11458333333333333</v>
      </c>
      <c r="D47" s="29">
        <v>120</v>
      </c>
      <c r="E47" s="9">
        <v>0.15625</v>
      </c>
      <c r="F47" s="29">
        <v>120</v>
      </c>
      <c r="G47" s="9">
        <v>0.15625</v>
      </c>
      <c r="H47" s="29">
        <v>120</v>
      </c>
      <c r="I47" s="9">
        <v>0.15625</v>
      </c>
      <c r="J47" s="29">
        <v>120</v>
      </c>
      <c r="K47" s="9">
        <v>0.26041666666666669</v>
      </c>
      <c r="L47" s="7">
        <v>70</v>
      </c>
      <c r="M47" s="9">
        <v>5.2083333333333336E-2</v>
      </c>
      <c r="N47" s="29">
        <v>90</v>
      </c>
      <c r="O47" s="9">
        <v>0.19791666666666666</v>
      </c>
      <c r="P47" s="66"/>
      <c r="Q47" s="64"/>
      <c r="R47" s="64"/>
      <c r="S47" s="2"/>
      <c r="T47" s="2"/>
    </row>
    <row r="48" spans="1:20" x14ac:dyDescent="0.25">
      <c r="A48" s="2"/>
      <c r="B48" s="8">
        <v>60</v>
      </c>
      <c r="C48" s="9">
        <v>0.25</v>
      </c>
      <c r="D48" s="29">
        <v>120</v>
      </c>
      <c r="E48" s="9">
        <v>0.28125</v>
      </c>
      <c r="F48" s="29">
        <v>120</v>
      </c>
      <c r="G48" s="9">
        <v>0.26041666666666669</v>
      </c>
      <c r="H48" s="29">
        <v>120</v>
      </c>
      <c r="I48" s="9">
        <v>0.25</v>
      </c>
      <c r="J48" s="29">
        <v>120</v>
      </c>
      <c r="K48" s="9">
        <v>0.35416666666666669</v>
      </c>
      <c r="L48" s="29">
        <v>80</v>
      </c>
      <c r="M48" s="9">
        <v>0.23958333333333334</v>
      </c>
      <c r="N48" s="29">
        <v>120</v>
      </c>
      <c r="O48" s="9">
        <v>0.30208333333333331</v>
      </c>
      <c r="P48" s="66"/>
      <c r="Q48" s="64"/>
      <c r="R48" s="64"/>
      <c r="S48" s="2"/>
      <c r="T48" s="2"/>
    </row>
    <row r="49" spans="1:20" x14ac:dyDescent="0.25">
      <c r="A49" s="2"/>
      <c r="B49" s="5">
        <v>120</v>
      </c>
      <c r="C49" s="9">
        <v>0.38541666666666669</v>
      </c>
      <c r="D49" s="5">
        <v>110</v>
      </c>
      <c r="E49" s="9">
        <v>0.41666666666666669</v>
      </c>
      <c r="F49" s="29">
        <v>60</v>
      </c>
      <c r="G49" s="9">
        <v>0.41666666666666669</v>
      </c>
      <c r="H49" s="5">
        <v>80</v>
      </c>
      <c r="I49" s="9">
        <v>0.36458333333333331</v>
      </c>
      <c r="J49" s="5">
        <v>60</v>
      </c>
      <c r="K49" s="9">
        <v>0.42708333333333331</v>
      </c>
      <c r="L49" s="5">
        <v>120</v>
      </c>
      <c r="M49" s="9">
        <v>0.33333333333333331</v>
      </c>
      <c r="N49" s="5">
        <v>120</v>
      </c>
      <c r="O49" s="9">
        <v>0.375</v>
      </c>
      <c r="P49" s="66"/>
      <c r="Q49" s="80" t="s">
        <v>78</v>
      </c>
      <c r="R49" s="80"/>
      <c r="S49" s="2"/>
      <c r="T49" s="2"/>
    </row>
    <row r="50" spans="1:20" x14ac:dyDescent="0.25">
      <c r="A50" s="2"/>
      <c r="B50" s="5">
        <v>110</v>
      </c>
      <c r="C50" s="9">
        <v>0.46875</v>
      </c>
      <c r="D50" s="5">
        <v>120</v>
      </c>
      <c r="E50" s="9">
        <v>0.51041666666666663</v>
      </c>
      <c r="F50" s="5">
        <v>90</v>
      </c>
      <c r="G50" s="9">
        <v>0.47916666666666669</v>
      </c>
      <c r="H50" s="5">
        <v>90</v>
      </c>
      <c r="I50" s="9">
        <v>0.5</v>
      </c>
      <c r="J50" s="5">
        <v>30</v>
      </c>
      <c r="K50" s="9">
        <v>0.5</v>
      </c>
      <c r="L50" s="5">
        <v>30</v>
      </c>
      <c r="M50" s="9">
        <v>0.48958333333333331</v>
      </c>
      <c r="N50" s="5">
        <v>60</v>
      </c>
      <c r="O50" s="9">
        <v>0.47916666666666669</v>
      </c>
      <c r="P50" s="66"/>
      <c r="Q50" s="83" t="s">
        <v>81</v>
      </c>
      <c r="R50" s="83"/>
      <c r="S50" s="2"/>
      <c r="T50" s="2"/>
    </row>
    <row r="51" spans="1:20" x14ac:dyDescent="0.25">
      <c r="A51" s="2"/>
      <c r="B51" s="8">
        <v>90</v>
      </c>
      <c r="C51" s="9">
        <v>0.64583333333333337</v>
      </c>
      <c r="D51" s="5">
        <v>120</v>
      </c>
      <c r="E51" s="9">
        <v>0.64583333333333337</v>
      </c>
      <c r="F51" s="7">
        <v>120</v>
      </c>
      <c r="G51" s="9">
        <v>0.61458333333333337</v>
      </c>
      <c r="H51" s="5">
        <v>90</v>
      </c>
      <c r="I51" s="9">
        <v>14</v>
      </c>
      <c r="J51" s="29">
        <v>150</v>
      </c>
      <c r="K51" s="9">
        <v>0.89583333333333337</v>
      </c>
      <c r="L51" s="5">
        <v>30</v>
      </c>
      <c r="M51" s="9">
        <v>0.55208333333333337</v>
      </c>
      <c r="N51" s="5">
        <v>60</v>
      </c>
      <c r="O51" s="9">
        <v>0.64583333333333337</v>
      </c>
      <c r="P51" s="66"/>
      <c r="Q51" s="81" t="s">
        <v>82</v>
      </c>
      <c r="R51" s="81"/>
      <c r="S51" s="2"/>
      <c r="T51" s="2"/>
    </row>
    <row r="52" spans="1:20" x14ac:dyDescent="0.25">
      <c r="A52" s="2"/>
      <c r="B52" s="8">
        <v>90</v>
      </c>
      <c r="C52" s="9">
        <v>0.80208333333333337</v>
      </c>
      <c r="D52" s="5">
        <v>20</v>
      </c>
      <c r="E52" s="9">
        <v>0.75</v>
      </c>
      <c r="F52" s="29">
        <v>80</v>
      </c>
      <c r="G52" s="9">
        <v>0.82291666666666663</v>
      </c>
      <c r="H52" s="5">
        <v>120</v>
      </c>
      <c r="I52" s="9">
        <v>0.65625</v>
      </c>
      <c r="J52" s="27"/>
      <c r="K52" s="9"/>
      <c r="L52" s="7">
        <v>100</v>
      </c>
      <c r="M52" s="9">
        <v>0.73958333333333337</v>
      </c>
      <c r="N52" s="5">
        <v>120</v>
      </c>
      <c r="O52" s="9">
        <v>0.71875</v>
      </c>
      <c r="P52" s="66"/>
      <c r="Q52" s="82" t="s">
        <v>83</v>
      </c>
      <c r="R52" s="82"/>
      <c r="S52" s="2"/>
      <c r="T52" s="2"/>
    </row>
    <row r="53" spans="1:20" x14ac:dyDescent="0.25">
      <c r="A53" s="2"/>
      <c r="B53" s="7">
        <v>60</v>
      </c>
      <c r="C53" s="9">
        <v>0.91666666666666663</v>
      </c>
      <c r="D53" s="5">
        <v>90</v>
      </c>
      <c r="E53" s="9">
        <v>0.79166666666666663</v>
      </c>
      <c r="F53" s="29">
        <v>90</v>
      </c>
      <c r="G53" s="9">
        <v>0.91666666666666663</v>
      </c>
      <c r="H53" s="7">
        <v>60</v>
      </c>
      <c r="I53" s="9">
        <v>0.82291666666666663</v>
      </c>
      <c r="J53" s="27"/>
      <c r="K53" s="9"/>
      <c r="L53" s="5">
        <v>60</v>
      </c>
      <c r="M53" s="9">
        <v>0.78125</v>
      </c>
      <c r="N53" s="5">
        <v>110</v>
      </c>
      <c r="O53" s="9">
        <v>0.83333333333333337</v>
      </c>
      <c r="P53" s="66"/>
      <c r="Q53" s="79" t="s">
        <v>84</v>
      </c>
      <c r="R53" s="79"/>
      <c r="S53" s="79"/>
      <c r="T53" s="79"/>
    </row>
    <row r="54" spans="1:20" x14ac:dyDescent="0.25">
      <c r="A54" s="2"/>
      <c r="B54" s="8">
        <v>60</v>
      </c>
      <c r="C54" s="9">
        <v>0.95833333333333337</v>
      </c>
      <c r="D54" s="7">
        <v>60</v>
      </c>
      <c r="E54" s="9">
        <v>0.875</v>
      </c>
      <c r="F54" s="11"/>
      <c r="G54" s="9"/>
      <c r="H54" s="29">
        <v>120</v>
      </c>
      <c r="I54" s="9">
        <v>0.98958333333333337</v>
      </c>
      <c r="J54" s="11"/>
      <c r="K54" s="9"/>
      <c r="L54" s="5">
        <v>60</v>
      </c>
      <c r="M54" s="9">
        <v>0.86458333333333337</v>
      </c>
      <c r="N54" s="7">
        <v>120</v>
      </c>
      <c r="O54" s="9">
        <v>0.96875</v>
      </c>
      <c r="P54" s="66"/>
      <c r="Q54" s="64"/>
      <c r="R54" s="64"/>
      <c r="S54" s="2"/>
      <c r="T54" s="2"/>
    </row>
    <row r="55" spans="1:20" x14ac:dyDescent="0.25">
      <c r="A55" s="2"/>
      <c r="B55" s="15"/>
      <c r="C55" s="9"/>
      <c r="D55" s="7">
        <v>60</v>
      </c>
      <c r="E55" s="9">
        <v>0.94791666666666663</v>
      </c>
      <c r="F55" s="11"/>
      <c r="G55" s="9"/>
      <c r="H55" s="11"/>
      <c r="I55" s="9"/>
      <c r="J55" s="11"/>
      <c r="K55" s="9"/>
      <c r="L55" s="29">
        <v>90</v>
      </c>
      <c r="M55" s="9">
        <v>0.94791666666666663</v>
      </c>
      <c r="N55" s="11"/>
      <c r="O55" s="9"/>
      <c r="P55" s="66"/>
      <c r="Q55" s="64"/>
      <c r="R55" s="64"/>
      <c r="S55" s="2"/>
      <c r="T55" s="2"/>
    </row>
    <row r="56" spans="1:20" x14ac:dyDescent="0.25">
      <c r="A56" s="2"/>
      <c r="B56" s="15"/>
      <c r="C56" s="9"/>
      <c r="D56" s="29">
        <v>60</v>
      </c>
      <c r="E56" s="9">
        <v>0.95833333333333337</v>
      </c>
      <c r="F56" s="11"/>
      <c r="G56" s="9"/>
      <c r="H56" s="11"/>
      <c r="I56" s="9"/>
      <c r="J56" s="11"/>
      <c r="K56" s="9"/>
      <c r="L56" s="29">
        <v>60</v>
      </c>
      <c r="M56" s="9">
        <v>0.98958333333333337</v>
      </c>
      <c r="N56" s="30"/>
      <c r="O56" s="12"/>
      <c r="P56" s="66"/>
      <c r="Q56" s="64"/>
      <c r="R56" s="64"/>
      <c r="S56" s="2"/>
      <c r="T56" s="2"/>
    </row>
    <row r="57" spans="1:20" x14ac:dyDescent="0.25">
      <c r="A57" s="2"/>
      <c r="B57" s="50" t="s">
        <v>85</v>
      </c>
      <c r="C57" s="46" t="s">
        <v>30</v>
      </c>
      <c r="D57" s="40"/>
      <c r="E57" s="46"/>
      <c r="F57" s="50" t="s">
        <v>85</v>
      </c>
      <c r="G57" s="46" t="s">
        <v>7</v>
      </c>
      <c r="H57" s="50" t="s">
        <v>85</v>
      </c>
      <c r="I57" s="46" t="s">
        <v>33</v>
      </c>
      <c r="J57" s="50" t="s">
        <v>85</v>
      </c>
      <c r="K57" s="46" t="s">
        <v>22</v>
      </c>
      <c r="L57" s="50" t="s">
        <v>85</v>
      </c>
      <c r="M57" s="46" t="s">
        <v>37</v>
      </c>
      <c r="N57" s="50" t="s">
        <v>85</v>
      </c>
      <c r="O57" s="46" t="s">
        <v>39</v>
      </c>
      <c r="P57" s="66"/>
      <c r="Q57" s="64"/>
      <c r="R57" s="64"/>
      <c r="S57" s="2"/>
      <c r="T57" s="2"/>
    </row>
    <row r="58" spans="1:20" x14ac:dyDescent="0.25">
      <c r="A58" s="2"/>
      <c r="B58" s="40"/>
      <c r="C58" s="20"/>
      <c r="D58" s="40"/>
      <c r="E58" s="20"/>
      <c r="F58" s="50" t="s">
        <v>85</v>
      </c>
      <c r="G58" s="46" t="s">
        <v>31</v>
      </c>
      <c r="H58" s="40"/>
      <c r="I58" s="20"/>
      <c r="J58" s="50" t="s">
        <v>85</v>
      </c>
      <c r="K58" s="20" t="s">
        <v>34</v>
      </c>
      <c r="L58" s="50" t="s">
        <v>85</v>
      </c>
      <c r="M58" s="28" t="s">
        <v>1</v>
      </c>
      <c r="N58" s="40"/>
      <c r="O58" s="28"/>
      <c r="P58" s="66"/>
      <c r="Q58" s="64"/>
      <c r="R58" s="64"/>
      <c r="S58" s="2"/>
      <c r="T58" s="2"/>
    </row>
    <row r="59" spans="1:20" x14ac:dyDescent="0.25">
      <c r="A59" s="2"/>
      <c r="B59" s="40"/>
      <c r="C59" s="20"/>
      <c r="D59" s="40"/>
      <c r="E59" s="20"/>
      <c r="F59" s="50" t="s">
        <v>85</v>
      </c>
      <c r="G59" s="46" t="s">
        <v>32</v>
      </c>
      <c r="H59" s="40"/>
      <c r="I59" s="20"/>
      <c r="J59" s="50" t="s">
        <v>85</v>
      </c>
      <c r="K59" s="20" t="s">
        <v>35</v>
      </c>
      <c r="L59" s="50" t="s">
        <v>85</v>
      </c>
      <c r="M59" s="28" t="s">
        <v>38</v>
      </c>
      <c r="N59" s="40"/>
      <c r="O59" s="20"/>
      <c r="P59" s="66"/>
      <c r="Q59" s="64"/>
      <c r="R59" s="64"/>
      <c r="S59" s="2"/>
      <c r="T59" s="2"/>
    </row>
    <row r="60" spans="1:20" x14ac:dyDescent="0.25">
      <c r="A60" s="2"/>
      <c r="B60" s="40"/>
      <c r="C60" s="20"/>
      <c r="D60" s="40"/>
      <c r="E60" s="20"/>
      <c r="F60" s="40"/>
      <c r="G60" s="20"/>
      <c r="H60" s="40"/>
      <c r="I60" s="20"/>
      <c r="J60" s="50" t="s">
        <v>85</v>
      </c>
      <c r="K60" s="20" t="s">
        <v>36</v>
      </c>
      <c r="L60" s="40"/>
      <c r="M60" s="20"/>
      <c r="N60" s="40"/>
      <c r="O60" s="20"/>
      <c r="P60" s="66"/>
      <c r="Q60" s="64"/>
      <c r="R60" s="64"/>
      <c r="S60" s="2"/>
      <c r="T60" s="2"/>
    </row>
    <row r="61" spans="1:20" x14ac:dyDescent="0.25">
      <c r="A61" s="2"/>
      <c r="B61" s="23">
        <v>180</v>
      </c>
      <c r="C61" s="12"/>
      <c r="D61" s="23">
        <v>0</v>
      </c>
      <c r="E61" s="12"/>
      <c r="F61" s="23">
        <v>180</v>
      </c>
      <c r="G61" s="12"/>
      <c r="H61" s="23">
        <v>45</v>
      </c>
      <c r="I61" s="12"/>
      <c r="J61" s="23">
        <v>360</v>
      </c>
      <c r="K61" s="12"/>
      <c r="L61" s="23">
        <v>135</v>
      </c>
      <c r="M61" s="12"/>
      <c r="N61" s="23">
        <v>45</v>
      </c>
      <c r="O61" s="12"/>
      <c r="P61" s="66"/>
      <c r="Q61" s="64"/>
      <c r="R61" s="64"/>
      <c r="S61" s="2"/>
      <c r="T61" s="2"/>
    </row>
    <row r="62" spans="1:20" x14ac:dyDescent="0.25">
      <c r="A62" s="2"/>
      <c r="B62" s="19"/>
      <c r="C62" s="12"/>
      <c r="D62" s="19"/>
      <c r="E62" s="12"/>
      <c r="F62" s="19"/>
      <c r="G62" s="12"/>
      <c r="H62" s="19"/>
      <c r="I62" s="12"/>
      <c r="J62" s="19"/>
      <c r="K62" s="12"/>
      <c r="L62" s="19"/>
      <c r="M62" s="12"/>
      <c r="N62" s="19"/>
      <c r="O62" s="12"/>
      <c r="P62" s="66"/>
      <c r="Q62" s="64"/>
      <c r="R62" s="64"/>
      <c r="S62" s="2"/>
      <c r="T62" s="2"/>
    </row>
    <row r="63" spans="1:20" x14ac:dyDescent="0.25">
      <c r="A63" s="2"/>
      <c r="B63" s="24" t="s">
        <v>13</v>
      </c>
      <c r="C63" s="12"/>
      <c r="D63" s="24" t="s">
        <v>13</v>
      </c>
      <c r="E63" s="12"/>
      <c r="F63" s="24" t="s">
        <v>13</v>
      </c>
      <c r="G63" s="12"/>
      <c r="H63" s="24" t="s">
        <v>13</v>
      </c>
      <c r="I63" s="12"/>
      <c r="J63" s="24" t="s">
        <v>13</v>
      </c>
      <c r="K63" s="12"/>
      <c r="L63" s="24" t="s">
        <v>13</v>
      </c>
      <c r="M63" s="12"/>
      <c r="N63" s="24" t="s">
        <v>13</v>
      </c>
      <c r="O63" s="12"/>
      <c r="P63" s="66" t="s">
        <v>67</v>
      </c>
      <c r="Q63" s="64"/>
      <c r="R63" s="64"/>
      <c r="S63" s="2"/>
      <c r="T63" s="2"/>
    </row>
    <row r="64" spans="1:20" ht="15.75" thickBot="1" x14ac:dyDescent="0.3">
      <c r="A64" s="2"/>
      <c r="B64" s="25">
        <f>SUM(B47:B54)+B61</f>
        <v>890</v>
      </c>
      <c r="C64" s="26"/>
      <c r="D64" s="25">
        <f>SUM(D47:D56)+D61</f>
        <v>880</v>
      </c>
      <c r="E64" s="26"/>
      <c r="F64" s="25">
        <f>SUM(F47:F53)+F61</f>
        <v>860</v>
      </c>
      <c r="G64" s="26"/>
      <c r="H64" s="25">
        <f>SUM(H47:H54)+H61</f>
        <v>845</v>
      </c>
      <c r="I64" s="26"/>
      <c r="J64" s="25">
        <f>SUM(J47:J53)+J61</f>
        <v>840</v>
      </c>
      <c r="K64" s="26"/>
      <c r="L64" s="25">
        <f>SUM(L47:L56)+L61</f>
        <v>835</v>
      </c>
      <c r="M64" s="26"/>
      <c r="N64" s="25">
        <f>SUM(N47:N56)+N61</f>
        <v>845</v>
      </c>
      <c r="O64" s="26"/>
      <c r="P64" s="67">
        <f>SUM(B64:O64)/7</f>
        <v>856.42857142857144</v>
      </c>
      <c r="Q64" s="64"/>
      <c r="R64" s="64"/>
      <c r="S64" s="2"/>
      <c r="T64" s="2"/>
    </row>
    <row r="65" spans="1:21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66"/>
      <c r="Q65" s="64"/>
      <c r="R65" s="64"/>
      <c r="S65" s="2"/>
      <c r="T65" s="2"/>
      <c r="U65" s="2"/>
    </row>
    <row r="66" spans="1:21" x14ac:dyDescent="0.25">
      <c r="A66" s="2"/>
      <c r="B66" s="73">
        <v>45888</v>
      </c>
      <c r="C66" s="74"/>
      <c r="D66" s="73">
        <v>45889</v>
      </c>
      <c r="E66" s="74"/>
      <c r="F66" s="73">
        <v>45890</v>
      </c>
      <c r="G66" s="74"/>
      <c r="H66" s="73">
        <v>45891</v>
      </c>
      <c r="I66" s="74"/>
      <c r="J66" s="73">
        <v>45892</v>
      </c>
      <c r="K66" s="74"/>
      <c r="L66" s="73">
        <v>45893</v>
      </c>
      <c r="M66" s="74"/>
      <c r="N66" s="73">
        <v>45894</v>
      </c>
      <c r="O66" s="74"/>
      <c r="P66" s="66"/>
      <c r="Q66" s="64"/>
      <c r="R66" s="64"/>
      <c r="S66" s="2"/>
      <c r="T66" s="2"/>
      <c r="U66" s="2"/>
    </row>
    <row r="67" spans="1:21" x14ac:dyDescent="0.25">
      <c r="A67" s="2"/>
      <c r="B67" s="3" t="s">
        <v>11</v>
      </c>
      <c r="C67" s="4" t="s">
        <v>12</v>
      </c>
      <c r="D67" s="3" t="s">
        <v>11</v>
      </c>
      <c r="E67" s="4" t="s">
        <v>12</v>
      </c>
      <c r="F67" s="3" t="s">
        <v>11</v>
      </c>
      <c r="G67" s="4" t="s">
        <v>12</v>
      </c>
      <c r="H67" s="3" t="s">
        <v>11</v>
      </c>
      <c r="I67" s="4" t="s">
        <v>12</v>
      </c>
      <c r="J67" s="3" t="s">
        <v>11</v>
      </c>
      <c r="K67" s="4" t="s">
        <v>12</v>
      </c>
      <c r="L67" s="3" t="s">
        <v>11</v>
      </c>
      <c r="M67" s="4" t="s">
        <v>12</v>
      </c>
      <c r="N67" s="3" t="s">
        <v>11</v>
      </c>
      <c r="O67" s="4" t="s">
        <v>12</v>
      </c>
      <c r="P67" s="66"/>
      <c r="Q67" s="64"/>
      <c r="R67" s="64"/>
      <c r="S67" s="2"/>
      <c r="T67" s="2"/>
      <c r="U67" s="2"/>
    </row>
    <row r="68" spans="1:21" x14ac:dyDescent="0.25">
      <c r="A68" s="2"/>
      <c r="B68" s="29">
        <v>110</v>
      </c>
      <c r="C68" s="28">
        <v>0.125</v>
      </c>
      <c r="D68" s="29">
        <v>90</v>
      </c>
      <c r="E68" s="28">
        <v>0.21875</v>
      </c>
      <c r="F68" s="29">
        <v>30</v>
      </c>
      <c r="G68" s="28">
        <v>0</v>
      </c>
      <c r="H68" s="29">
        <v>120</v>
      </c>
      <c r="I68" s="28">
        <v>0.15625</v>
      </c>
      <c r="J68" s="7">
        <v>130</v>
      </c>
      <c r="K68" s="28">
        <v>0.16666666666666666</v>
      </c>
      <c r="L68" s="29">
        <v>60</v>
      </c>
      <c r="M68" s="28">
        <v>4.1666666666666664E-2</v>
      </c>
      <c r="N68" s="29">
        <v>120</v>
      </c>
      <c r="O68" s="28">
        <v>4.1666666666666664E-2</v>
      </c>
      <c r="P68" s="66"/>
      <c r="Q68" s="64"/>
      <c r="R68" s="64"/>
      <c r="S68" s="2"/>
      <c r="T68" s="2"/>
      <c r="U68" s="2"/>
    </row>
    <row r="69" spans="1:21" x14ac:dyDescent="0.25">
      <c r="A69" s="2"/>
      <c r="B69" s="29">
        <v>40</v>
      </c>
      <c r="C69" s="28">
        <v>0.21875</v>
      </c>
      <c r="D69" s="29">
        <v>90</v>
      </c>
      <c r="E69" s="28">
        <v>0.30208333333333331</v>
      </c>
      <c r="F69" s="29">
        <v>120</v>
      </c>
      <c r="G69" s="28">
        <v>0.17708333333333334</v>
      </c>
      <c r="H69" s="29">
        <v>90</v>
      </c>
      <c r="I69" s="28">
        <v>0.28125</v>
      </c>
      <c r="J69" s="29">
        <v>90</v>
      </c>
      <c r="K69" s="28">
        <v>0.27083333333333331</v>
      </c>
      <c r="L69" s="29">
        <v>120</v>
      </c>
      <c r="M69" s="28">
        <v>0.20833333333333334</v>
      </c>
      <c r="N69" s="7">
        <v>120</v>
      </c>
      <c r="O69" s="28">
        <v>0.16666666666666666</v>
      </c>
      <c r="P69" s="66"/>
      <c r="Q69" s="64"/>
      <c r="R69" s="64"/>
      <c r="S69" s="2"/>
      <c r="T69" s="2"/>
      <c r="U69" s="2"/>
    </row>
    <row r="70" spans="1:21" x14ac:dyDescent="0.25">
      <c r="A70" s="2"/>
      <c r="B70" s="29">
        <v>90</v>
      </c>
      <c r="C70" s="28">
        <v>0.29166666666666669</v>
      </c>
      <c r="D70" s="29">
        <v>120</v>
      </c>
      <c r="E70" s="28">
        <v>0.39583333333333331</v>
      </c>
      <c r="F70" s="29">
        <v>100</v>
      </c>
      <c r="G70" s="28">
        <v>0.3125</v>
      </c>
      <c r="H70" s="5">
        <v>120</v>
      </c>
      <c r="I70" s="28">
        <v>0.42708333333333331</v>
      </c>
      <c r="J70" s="29">
        <v>90</v>
      </c>
      <c r="K70" s="28">
        <v>0.36458333333333331</v>
      </c>
      <c r="L70" s="29">
        <v>90</v>
      </c>
      <c r="M70" s="28">
        <v>0.32291666666666669</v>
      </c>
      <c r="N70" s="29">
        <v>120</v>
      </c>
      <c r="O70" s="28">
        <v>0.3125</v>
      </c>
      <c r="P70" s="66"/>
      <c r="Q70" s="64"/>
      <c r="R70" s="64"/>
      <c r="S70" s="2"/>
      <c r="T70" s="2"/>
      <c r="U70" s="2"/>
    </row>
    <row r="71" spans="1:21" x14ac:dyDescent="0.25">
      <c r="A71" s="2"/>
      <c r="B71" s="29">
        <v>120</v>
      </c>
      <c r="C71" s="28">
        <v>0.39583333333333331</v>
      </c>
      <c r="D71" s="5">
        <v>80</v>
      </c>
      <c r="E71" s="28">
        <v>0.48958333333333331</v>
      </c>
      <c r="F71" s="5">
        <v>50</v>
      </c>
      <c r="G71" s="28">
        <v>0.52083333333333337</v>
      </c>
      <c r="H71" s="5">
        <v>120</v>
      </c>
      <c r="I71" s="28">
        <v>0.60416666666666663</v>
      </c>
      <c r="J71" s="5">
        <v>120</v>
      </c>
      <c r="K71" s="28">
        <v>0.47916666666666669</v>
      </c>
      <c r="L71" s="5">
        <v>80</v>
      </c>
      <c r="M71" s="28">
        <v>0.45833333333333331</v>
      </c>
      <c r="N71" s="5">
        <v>100</v>
      </c>
      <c r="O71" s="28">
        <v>0.4375</v>
      </c>
      <c r="P71" s="66"/>
      <c r="Q71" s="80" t="s">
        <v>78</v>
      </c>
      <c r="R71" s="80"/>
      <c r="S71" s="2"/>
      <c r="T71" s="2"/>
      <c r="U71" s="2"/>
    </row>
    <row r="72" spans="1:21" x14ac:dyDescent="0.25">
      <c r="A72" s="2"/>
      <c r="B72" s="5">
        <v>90</v>
      </c>
      <c r="C72" s="28">
        <v>0.45833333333333331</v>
      </c>
      <c r="D72" s="5">
        <v>30</v>
      </c>
      <c r="E72" s="28">
        <v>0.60416666666666663</v>
      </c>
      <c r="F72" s="5">
        <v>30</v>
      </c>
      <c r="G72" s="28">
        <v>0.59375</v>
      </c>
      <c r="H72" s="5">
        <v>30</v>
      </c>
      <c r="I72" s="28">
        <v>0.71875</v>
      </c>
      <c r="J72" s="5">
        <v>30</v>
      </c>
      <c r="K72" s="28">
        <v>0.54166666666666663</v>
      </c>
      <c r="L72" s="5">
        <v>120</v>
      </c>
      <c r="M72" s="28">
        <v>0.6875</v>
      </c>
      <c r="N72" s="5">
        <v>90</v>
      </c>
      <c r="O72" s="28">
        <v>0.5625</v>
      </c>
      <c r="P72" s="66"/>
      <c r="Q72" s="81" t="s">
        <v>82</v>
      </c>
      <c r="R72" s="81"/>
      <c r="S72" s="2"/>
      <c r="T72" s="2"/>
      <c r="U72" s="2"/>
    </row>
    <row r="73" spans="1:21" x14ac:dyDescent="0.25">
      <c r="A73" s="2"/>
      <c r="B73" s="5">
        <v>90</v>
      </c>
      <c r="C73" s="28">
        <v>0.61458333333333337</v>
      </c>
      <c r="D73" s="7">
        <v>60</v>
      </c>
      <c r="E73" s="28">
        <v>0.70833333333333337</v>
      </c>
      <c r="F73" s="5">
        <v>120</v>
      </c>
      <c r="G73" s="28">
        <v>0.69791666666666663</v>
      </c>
      <c r="H73" s="5">
        <v>120</v>
      </c>
      <c r="I73" s="28">
        <v>0.75</v>
      </c>
      <c r="J73" s="5">
        <v>120</v>
      </c>
      <c r="K73" s="28">
        <v>0.70833333333333337</v>
      </c>
      <c r="L73" s="5">
        <v>60</v>
      </c>
      <c r="M73" s="28">
        <v>0.78125</v>
      </c>
      <c r="N73" s="5">
        <v>60</v>
      </c>
      <c r="O73" s="28">
        <v>0.64583333333333337</v>
      </c>
      <c r="P73" s="66"/>
      <c r="Q73" s="82" t="s">
        <v>83</v>
      </c>
      <c r="R73" s="82"/>
      <c r="S73" s="2"/>
      <c r="T73" s="2"/>
      <c r="U73" s="2"/>
    </row>
    <row r="74" spans="1:21" x14ac:dyDescent="0.25">
      <c r="A74" s="2"/>
      <c r="B74" s="5">
        <v>70</v>
      </c>
      <c r="C74" s="28">
        <v>0.72916666666666663</v>
      </c>
      <c r="D74" s="5">
        <v>50</v>
      </c>
      <c r="E74" s="28">
        <v>0.78125</v>
      </c>
      <c r="F74" s="5">
        <v>50</v>
      </c>
      <c r="G74" s="28">
        <v>0.85416666666666663</v>
      </c>
      <c r="H74" s="5">
        <v>110</v>
      </c>
      <c r="I74" s="28">
        <v>0.89583333333333337</v>
      </c>
      <c r="J74" s="29">
        <v>120</v>
      </c>
      <c r="K74" s="28">
        <v>0.9375</v>
      </c>
      <c r="L74" s="7">
        <v>30</v>
      </c>
      <c r="M74" s="28">
        <v>0.79166666666666663</v>
      </c>
      <c r="N74" s="5">
        <v>120</v>
      </c>
      <c r="O74" s="28">
        <v>0.72916666666666663</v>
      </c>
      <c r="P74" s="66"/>
      <c r="Q74" s="79" t="s">
        <v>84</v>
      </c>
      <c r="R74" s="79"/>
      <c r="S74" s="79"/>
      <c r="T74" s="79"/>
      <c r="U74" s="2"/>
    </row>
    <row r="75" spans="1:21" x14ac:dyDescent="0.25">
      <c r="A75" s="2"/>
      <c r="B75" s="29">
        <v>110</v>
      </c>
      <c r="C75" s="28">
        <v>0.86458333333333337</v>
      </c>
      <c r="D75" s="7">
        <v>110</v>
      </c>
      <c r="E75" s="28">
        <v>0.97916666666666663</v>
      </c>
      <c r="F75" s="29">
        <v>60</v>
      </c>
      <c r="G75" s="28">
        <v>0.97916666666666663</v>
      </c>
      <c r="H75" s="29">
        <v>100</v>
      </c>
      <c r="I75" s="28">
        <v>0.9375</v>
      </c>
      <c r="J75" s="29">
        <v>60</v>
      </c>
      <c r="K75" s="28">
        <v>0.98958333333333337</v>
      </c>
      <c r="L75" s="7">
        <v>30</v>
      </c>
      <c r="M75" s="28">
        <v>0.85416666666666663</v>
      </c>
      <c r="N75" s="5">
        <v>30</v>
      </c>
      <c r="O75" s="28">
        <v>0.79166666666666663</v>
      </c>
      <c r="P75" s="66"/>
      <c r="Q75" s="64"/>
      <c r="R75" s="64"/>
      <c r="S75" s="2"/>
      <c r="T75" s="2"/>
      <c r="U75" s="2"/>
    </row>
    <row r="76" spans="1:21" x14ac:dyDescent="0.25">
      <c r="A76" s="2"/>
      <c r="B76" s="29">
        <v>110</v>
      </c>
      <c r="C76" s="28">
        <v>0.96875</v>
      </c>
      <c r="D76" s="29">
        <v>30</v>
      </c>
      <c r="E76" s="28">
        <v>0</v>
      </c>
      <c r="F76" s="11"/>
      <c r="G76" s="28"/>
      <c r="H76" s="11"/>
      <c r="I76" s="28"/>
      <c r="J76" s="11"/>
      <c r="K76" s="28"/>
      <c r="L76" s="29">
        <v>90</v>
      </c>
      <c r="M76" s="28">
        <v>0.86458333333333337</v>
      </c>
      <c r="N76" s="29">
        <v>120</v>
      </c>
      <c r="O76" s="28">
        <v>0.86458333333333337</v>
      </c>
      <c r="P76" s="66"/>
      <c r="Q76" s="64"/>
      <c r="R76" s="64"/>
      <c r="S76" s="2"/>
      <c r="T76" s="2"/>
      <c r="U76" s="2"/>
    </row>
    <row r="77" spans="1:21" x14ac:dyDescent="0.25">
      <c r="A77" s="2"/>
      <c r="B77" s="11"/>
      <c r="C77" s="28"/>
      <c r="D77" s="31"/>
      <c r="E77" s="28"/>
      <c r="F77" s="11"/>
      <c r="G77" s="28"/>
      <c r="H77" s="11"/>
      <c r="I77" s="28"/>
      <c r="J77" s="11"/>
      <c r="K77" s="28"/>
      <c r="L77" s="31"/>
      <c r="M77" s="28"/>
      <c r="N77" s="30"/>
      <c r="O77" s="20"/>
      <c r="P77" s="66"/>
      <c r="Q77" s="64"/>
      <c r="R77" s="64"/>
      <c r="S77" s="2"/>
      <c r="T77" s="2"/>
      <c r="U77" s="2"/>
    </row>
    <row r="78" spans="1:21" x14ac:dyDescent="0.25">
      <c r="A78" s="2"/>
      <c r="B78" s="50" t="s">
        <v>85</v>
      </c>
      <c r="C78" s="46" t="s">
        <v>40</v>
      </c>
      <c r="D78" s="50" t="s">
        <v>85</v>
      </c>
      <c r="E78" s="46" t="s">
        <v>42</v>
      </c>
      <c r="F78" s="50" t="s">
        <v>85</v>
      </c>
      <c r="G78" s="46" t="s">
        <v>43</v>
      </c>
      <c r="H78" s="50" t="s">
        <v>85</v>
      </c>
      <c r="I78" s="46" t="s">
        <v>41</v>
      </c>
      <c r="J78" s="50" t="s">
        <v>85</v>
      </c>
      <c r="K78" s="46" t="s">
        <v>45</v>
      </c>
      <c r="L78" s="50" t="s">
        <v>85</v>
      </c>
      <c r="M78" s="46" t="s">
        <v>38</v>
      </c>
      <c r="N78" s="50" t="s">
        <v>85</v>
      </c>
      <c r="O78" s="46" t="s">
        <v>25</v>
      </c>
      <c r="P78" s="66"/>
      <c r="Q78" s="64"/>
      <c r="R78" s="64"/>
      <c r="S78" s="2"/>
      <c r="T78" s="2"/>
      <c r="U78" s="2"/>
    </row>
    <row r="79" spans="1:21" x14ac:dyDescent="0.25">
      <c r="A79" s="2"/>
      <c r="B79" s="50" t="s">
        <v>85</v>
      </c>
      <c r="C79" s="46" t="s">
        <v>31</v>
      </c>
      <c r="D79" s="50" t="s">
        <v>85</v>
      </c>
      <c r="E79" s="20" t="s">
        <v>38</v>
      </c>
      <c r="F79" s="50" t="s">
        <v>85</v>
      </c>
      <c r="G79" s="46" t="s">
        <v>44</v>
      </c>
      <c r="H79" s="40"/>
      <c r="I79" s="46"/>
      <c r="J79" s="50" t="s">
        <v>85</v>
      </c>
      <c r="K79" s="20" t="s">
        <v>8</v>
      </c>
      <c r="L79" s="40"/>
      <c r="M79" s="28"/>
      <c r="N79" s="40"/>
      <c r="O79" s="28"/>
      <c r="P79" s="66"/>
      <c r="Q79" s="64"/>
      <c r="R79" s="64"/>
      <c r="S79" s="2"/>
      <c r="T79" s="2"/>
      <c r="U79" s="2"/>
    </row>
    <row r="80" spans="1:21" x14ac:dyDescent="0.25">
      <c r="A80" s="2"/>
      <c r="B80" s="50" t="s">
        <v>85</v>
      </c>
      <c r="C80" s="46" t="s">
        <v>15</v>
      </c>
      <c r="D80" s="40"/>
      <c r="E80" s="20"/>
      <c r="F80" s="50" t="s">
        <v>85</v>
      </c>
      <c r="G80" s="46" t="s">
        <v>38</v>
      </c>
      <c r="H80" s="40"/>
      <c r="I80" s="46"/>
      <c r="J80" s="40"/>
      <c r="K80" s="20"/>
      <c r="L80" s="40"/>
      <c r="M80" s="28"/>
      <c r="N80" s="40"/>
      <c r="O80" s="20"/>
      <c r="P80" s="66"/>
      <c r="Q80" s="64"/>
      <c r="R80" s="64"/>
      <c r="S80" s="2"/>
      <c r="T80" s="2"/>
      <c r="U80" s="2"/>
    </row>
    <row r="81" spans="1:21" x14ac:dyDescent="0.25">
      <c r="A81" s="2"/>
      <c r="B81" s="40"/>
      <c r="C81" s="20"/>
      <c r="D81" s="40"/>
      <c r="E81" s="20"/>
      <c r="F81" s="40"/>
      <c r="G81" s="20"/>
      <c r="H81" s="40"/>
      <c r="I81" s="20"/>
      <c r="J81" s="40"/>
      <c r="K81" s="20"/>
      <c r="L81" s="40"/>
      <c r="M81" s="20"/>
      <c r="N81" s="40"/>
      <c r="O81" s="20"/>
      <c r="P81" s="66"/>
      <c r="Q81" s="64"/>
      <c r="R81" s="64"/>
      <c r="S81" s="2"/>
      <c r="T81" s="2"/>
      <c r="U81" s="2"/>
    </row>
    <row r="82" spans="1:21" x14ac:dyDescent="0.25">
      <c r="A82" s="2"/>
      <c r="B82" s="23">
        <v>135</v>
      </c>
      <c r="C82" s="12"/>
      <c r="D82" s="23">
        <v>135</v>
      </c>
      <c r="E82" s="12"/>
      <c r="F82" s="23">
        <v>225</v>
      </c>
      <c r="G82" s="12"/>
      <c r="H82" s="23">
        <v>45</v>
      </c>
      <c r="I82" s="12"/>
      <c r="J82" s="23">
        <v>90</v>
      </c>
      <c r="K82" s="12"/>
      <c r="L82" s="23">
        <v>45</v>
      </c>
      <c r="M82" s="12"/>
      <c r="N82" s="23">
        <v>45</v>
      </c>
      <c r="O82" s="12"/>
      <c r="P82" s="66"/>
      <c r="Q82" s="64"/>
      <c r="R82" s="64"/>
      <c r="S82" s="2"/>
      <c r="T82" s="2"/>
      <c r="U82" s="2"/>
    </row>
    <row r="83" spans="1:21" x14ac:dyDescent="0.25">
      <c r="A83" s="2"/>
      <c r="B83" s="19"/>
      <c r="C83" s="12"/>
      <c r="D83" s="19"/>
      <c r="E83" s="12"/>
      <c r="F83" s="19"/>
      <c r="G83" s="12"/>
      <c r="H83" s="19"/>
      <c r="I83" s="12"/>
      <c r="J83" s="19"/>
      <c r="K83" s="12"/>
      <c r="L83" s="19"/>
      <c r="M83" s="12"/>
      <c r="N83" s="19"/>
      <c r="O83" s="12"/>
      <c r="P83" s="66"/>
      <c r="Q83" s="64"/>
      <c r="R83" s="64"/>
      <c r="S83" s="2"/>
      <c r="T83" s="2"/>
      <c r="U83" s="2"/>
    </row>
    <row r="84" spans="1:21" x14ac:dyDescent="0.25">
      <c r="A84" s="2"/>
      <c r="B84" s="24" t="s">
        <v>13</v>
      </c>
      <c r="C84" s="12"/>
      <c r="D84" s="24" t="s">
        <v>13</v>
      </c>
      <c r="E84" s="12"/>
      <c r="F84" s="24" t="s">
        <v>13</v>
      </c>
      <c r="G84" s="12"/>
      <c r="H84" s="24" t="s">
        <v>13</v>
      </c>
      <c r="I84" s="12"/>
      <c r="J84" s="24" t="s">
        <v>13</v>
      </c>
      <c r="K84" s="12"/>
      <c r="L84" s="24" t="s">
        <v>13</v>
      </c>
      <c r="M84" s="12"/>
      <c r="N84" s="24" t="s">
        <v>13</v>
      </c>
      <c r="O84" s="12"/>
      <c r="P84" s="66" t="s">
        <v>67</v>
      </c>
      <c r="Q84" s="64"/>
      <c r="R84" s="64"/>
      <c r="S84" s="2"/>
      <c r="T84" s="2"/>
      <c r="U84" s="2"/>
    </row>
    <row r="85" spans="1:21" ht="15.75" thickBot="1" x14ac:dyDescent="0.3">
      <c r="A85" s="2"/>
      <c r="B85" s="25">
        <f>SUM(B68:B76)+B82</f>
        <v>965</v>
      </c>
      <c r="C85" s="26"/>
      <c r="D85" s="25">
        <f>SUM(D68:D77)+D82</f>
        <v>795</v>
      </c>
      <c r="E85" s="26"/>
      <c r="F85" s="25">
        <f>SUM(F68:F75)+F82</f>
        <v>785</v>
      </c>
      <c r="G85" s="26"/>
      <c r="H85" s="25">
        <f>SUM(H68:H75)+H82</f>
        <v>855</v>
      </c>
      <c r="I85" s="26"/>
      <c r="J85" s="25">
        <f>SUM(J68:J75)+J82</f>
        <v>850</v>
      </c>
      <c r="K85" s="26"/>
      <c r="L85" s="25">
        <f>SUM(L68:L77)+L82</f>
        <v>725</v>
      </c>
      <c r="M85" s="26"/>
      <c r="N85" s="25">
        <f>SUM(N68:N77)+N82</f>
        <v>925</v>
      </c>
      <c r="O85" s="26"/>
      <c r="P85" s="67">
        <f>SUM(B85:O85)/7</f>
        <v>842.85714285714289</v>
      </c>
      <c r="Q85" s="64"/>
      <c r="R85" s="64"/>
      <c r="S85" s="2"/>
      <c r="T85" s="2"/>
      <c r="U85" s="2"/>
    </row>
    <row r="86" spans="1:21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66"/>
      <c r="Q86" s="64"/>
      <c r="R86" s="64"/>
      <c r="S86" s="2"/>
      <c r="T86" s="2"/>
      <c r="U86" s="2"/>
    </row>
    <row r="87" spans="1:21" x14ac:dyDescent="0.25">
      <c r="A87" s="2"/>
      <c r="B87" s="73">
        <v>45895</v>
      </c>
      <c r="C87" s="74"/>
      <c r="D87" s="73">
        <v>45896</v>
      </c>
      <c r="E87" s="74"/>
      <c r="F87" s="73">
        <v>45897</v>
      </c>
      <c r="G87" s="74"/>
      <c r="H87" s="73">
        <v>45898</v>
      </c>
      <c r="I87" s="74"/>
      <c r="J87" s="73">
        <v>45899</v>
      </c>
      <c r="K87" s="74"/>
      <c r="L87" s="73">
        <v>45900</v>
      </c>
      <c r="M87" s="74"/>
      <c r="N87" s="73">
        <v>45901</v>
      </c>
      <c r="O87" s="74"/>
      <c r="P87" s="66"/>
      <c r="Q87" s="64"/>
      <c r="R87" s="64"/>
      <c r="S87" s="2"/>
      <c r="T87" s="2"/>
      <c r="U87" s="2"/>
    </row>
    <row r="88" spans="1:21" x14ac:dyDescent="0.25">
      <c r="A88" s="2"/>
      <c r="B88" s="3" t="s">
        <v>11</v>
      </c>
      <c r="C88" s="4" t="s">
        <v>12</v>
      </c>
      <c r="D88" s="3" t="s">
        <v>11</v>
      </c>
      <c r="E88" s="4" t="s">
        <v>12</v>
      </c>
      <c r="F88" s="3" t="s">
        <v>11</v>
      </c>
      <c r="G88" s="4" t="s">
        <v>12</v>
      </c>
      <c r="H88" s="3" t="s">
        <v>11</v>
      </c>
      <c r="I88" s="4" t="s">
        <v>12</v>
      </c>
      <c r="J88" s="3" t="s">
        <v>11</v>
      </c>
      <c r="K88" s="4" t="s">
        <v>12</v>
      </c>
      <c r="L88" s="3" t="s">
        <v>11</v>
      </c>
      <c r="M88" s="4" t="s">
        <v>12</v>
      </c>
      <c r="N88" s="3" t="s">
        <v>11</v>
      </c>
      <c r="O88" s="4" t="s">
        <v>12</v>
      </c>
      <c r="P88" s="66"/>
      <c r="Q88" s="64"/>
      <c r="R88" s="64"/>
      <c r="S88" s="2"/>
      <c r="T88" s="2"/>
      <c r="U88" s="2"/>
    </row>
    <row r="89" spans="1:21" x14ac:dyDescent="0.25">
      <c r="A89" s="2"/>
      <c r="B89" s="29">
        <v>120</v>
      </c>
      <c r="C89" s="28">
        <v>8.3333333333333329E-2</v>
      </c>
      <c r="D89" s="29">
        <v>30</v>
      </c>
      <c r="E89" s="28">
        <v>3.125E-2</v>
      </c>
      <c r="F89" s="29">
        <v>150</v>
      </c>
      <c r="G89" s="28">
        <v>0.17708333333333334</v>
      </c>
      <c r="H89" s="29">
        <v>120</v>
      </c>
      <c r="I89" s="28">
        <v>0.14583333333333334</v>
      </c>
      <c r="J89" s="7">
        <v>90</v>
      </c>
      <c r="K89" s="28">
        <v>0.125</v>
      </c>
      <c r="L89" s="29">
        <v>120</v>
      </c>
      <c r="M89" s="28">
        <v>0.19791666666666666</v>
      </c>
      <c r="N89" s="29">
        <v>120</v>
      </c>
      <c r="O89" s="28">
        <v>0.1875</v>
      </c>
      <c r="P89" s="66"/>
      <c r="Q89" s="64"/>
      <c r="R89" s="64"/>
      <c r="S89" s="2"/>
      <c r="T89" s="2"/>
      <c r="U89" s="2"/>
    </row>
    <row r="90" spans="1:21" x14ac:dyDescent="0.25">
      <c r="A90" s="2"/>
      <c r="B90" s="29">
        <v>120</v>
      </c>
      <c r="C90" s="28">
        <v>0.19791666666666666</v>
      </c>
      <c r="D90" s="29">
        <v>150</v>
      </c>
      <c r="E90" s="28">
        <v>0.15625</v>
      </c>
      <c r="F90" s="29">
        <v>90</v>
      </c>
      <c r="G90" s="28">
        <v>0.29166666666666669</v>
      </c>
      <c r="H90" s="29">
        <v>100</v>
      </c>
      <c r="I90" s="28">
        <v>0.25</v>
      </c>
      <c r="J90" s="29">
        <v>120</v>
      </c>
      <c r="K90" s="28">
        <v>0.28125</v>
      </c>
      <c r="L90" s="29">
        <v>120</v>
      </c>
      <c r="M90" s="28">
        <v>0.3125</v>
      </c>
      <c r="N90" s="29">
        <v>100</v>
      </c>
      <c r="O90" s="28">
        <v>0.26041666666666669</v>
      </c>
      <c r="P90" s="66"/>
      <c r="Q90" s="64"/>
      <c r="R90" s="64"/>
      <c r="S90" s="2"/>
      <c r="T90" s="2"/>
      <c r="U90" s="2"/>
    </row>
    <row r="91" spans="1:21" x14ac:dyDescent="0.25">
      <c r="A91" s="2"/>
      <c r="B91" s="29">
        <v>120</v>
      </c>
      <c r="C91" s="28">
        <v>0.30208333333333331</v>
      </c>
      <c r="D91" s="29">
        <v>90</v>
      </c>
      <c r="E91" s="28">
        <v>0.28125</v>
      </c>
      <c r="F91" s="29">
        <v>120</v>
      </c>
      <c r="G91" s="28">
        <v>0.41666666666666669</v>
      </c>
      <c r="H91" s="5">
        <v>120</v>
      </c>
      <c r="I91" s="28">
        <v>0.38541666666666669</v>
      </c>
      <c r="J91" s="29">
        <v>70</v>
      </c>
      <c r="K91" s="28">
        <v>0.38541666666666669</v>
      </c>
      <c r="L91" s="29">
        <v>90</v>
      </c>
      <c r="M91" s="28">
        <v>0.39583333333333331</v>
      </c>
      <c r="N91" s="29">
        <v>120</v>
      </c>
      <c r="O91" s="28">
        <v>0.39583333333333331</v>
      </c>
      <c r="P91" s="66"/>
      <c r="Q91" s="64"/>
      <c r="R91" s="64"/>
      <c r="S91" s="2"/>
      <c r="T91" s="2"/>
      <c r="U91" s="2"/>
    </row>
    <row r="92" spans="1:21" x14ac:dyDescent="0.25">
      <c r="A92" s="2"/>
      <c r="B92" s="29">
        <v>120</v>
      </c>
      <c r="C92" s="28">
        <v>0.39583333333333331</v>
      </c>
      <c r="D92" s="5">
        <v>60</v>
      </c>
      <c r="E92" s="28">
        <v>0.42708333333333331</v>
      </c>
      <c r="F92" s="5">
        <v>120</v>
      </c>
      <c r="G92" s="28">
        <v>0.51041666666666663</v>
      </c>
      <c r="H92" s="5">
        <v>70</v>
      </c>
      <c r="I92" s="28">
        <v>0.625</v>
      </c>
      <c r="J92" s="5">
        <v>60</v>
      </c>
      <c r="K92" s="28">
        <v>0.70833333333333337</v>
      </c>
      <c r="L92" s="5">
        <v>40</v>
      </c>
      <c r="M92" s="28">
        <v>0.59375</v>
      </c>
      <c r="N92" s="5">
        <v>90</v>
      </c>
      <c r="O92" s="28">
        <v>0.60416666666666663</v>
      </c>
      <c r="P92" s="66"/>
      <c r="Q92" s="80" t="s">
        <v>78</v>
      </c>
      <c r="R92" s="80"/>
      <c r="S92" s="2"/>
      <c r="T92" s="2"/>
      <c r="U92" s="2"/>
    </row>
    <row r="93" spans="1:21" x14ac:dyDescent="0.25">
      <c r="A93" s="2"/>
      <c r="B93" s="5">
        <v>60</v>
      </c>
      <c r="C93" s="28">
        <v>0.57291666666666663</v>
      </c>
      <c r="D93" s="5">
        <v>90</v>
      </c>
      <c r="E93" s="28">
        <v>0.48958333333333331</v>
      </c>
      <c r="F93" s="29">
        <v>30</v>
      </c>
      <c r="G93" s="28">
        <v>0.65625</v>
      </c>
      <c r="H93" s="29">
        <v>120</v>
      </c>
      <c r="I93" s="28">
        <v>0.98958333333333337</v>
      </c>
      <c r="J93" s="29">
        <v>120</v>
      </c>
      <c r="K93" s="28">
        <v>0.89583333333333337</v>
      </c>
      <c r="L93" s="5">
        <v>90</v>
      </c>
      <c r="M93" s="28">
        <v>0.70833333333333337</v>
      </c>
      <c r="N93" s="5">
        <v>50</v>
      </c>
      <c r="O93" s="28">
        <v>0.77083333333333337</v>
      </c>
      <c r="P93" s="66"/>
      <c r="Q93" s="81" t="s">
        <v>82</v>
      </c>
      <c r="R93" s="81"/>
      <c r="S93" s="2"/>
      <c r="T93" s="2"/>
      <c r="U93" s="2"/>
    </row>
    <row r="94" spans="1:21" x14ac:dyDescent="0.25">
      <c r="A94" s="2"/>
      <c r="B94" s="5">
        <v>60</v>
      </c>
      <c r="C94" s="28">
        <v>0.67708333333333337</v>
      </c>
      <c r="D94" s="5">
        <v>120</v>
      </c>
      <c r="E94" s="28">
        <v>0.69791666666666663</v>
      </c>
      <c r="F94" s="5">
        <v>30</v>
      </c>
      <c r="G94" s="28">
        <v>0.80208333333333337</v>
      </c>
      <c r="H94" s="11"/>
      <c r="I94" s="28"/>
      <c r="J94" s="11"/>
      <c r="K94" s="28"/>
      <c r="L94" s="29">
        <v>120</v>
      </c>
      <c r="M94" s="28">
        <v>0.83333333333333337</v>
      </c>
      <c r="N94" s="5">
        <v>100</v>
      </c>
      <c r="O94" s="28">
        <v>0.89583333333333337</v>
      </c>
      <c r="P94" s="66"/>
      <c r="Q94" s="82" t="s">
        <v>83</v>
      </c>
      <c r="R94" s="82"/>
      <c r="S94" s="2"/>
      <c r="T94" s="2"/>
      <c r="U94" s="2"/>
    </row>
    <row r="95" spans="1:21" x14ac:dyDescent="0.25">
      <c r="A95" s="2"/>
      <c r="B95" s="5">
        <v>150</v>
      </c>
      <c r="C95" s="28">
        <v>0.80208333333333337</v>
      </c>
      <c r="D95" s="5">
        <v>30</v>
      </c>
      <c r="E95" s="28">
        <v>0.80208333333333337</v>
      </c>
      <c r="F95" s="5">
        <v>60</v>
      </c>
      <c r="G95" s="28">
        <v>0.84375</v>
      </c>
      <c r="H95" s="11"/>
      <c r="I95" s="28"/>
      <c r="J95" s="11"/>
      <c r="K95" s="28"/>
      <c r="L95" s="29">
        <v>60</v>
      </c>
      <c r="M95" s="28">
        <v>0.91666666666666663</v>
      </c>
      <c r="N95" s="11"/>
      <c r="O95" s="28"/>
      <c r="P95" s="66"/>
      <c r="Q95" s="79" t="s">
        <v>84</v>
      </c>
      <c r="R95" s="79"/>
      <c r="S95" s="79"/>
      <c r="T95" s="79"/>
      <c r="U95" s="2"/>
    </row>
    <row r="96" spans="1:21" x14ac:dyDescent="0.25">
      <c r="A96" s="2"/>
      <c r="B96" s="7">
        <v>60</v>
      </c>
      <c r="C96" s="28">
        <v>0.92708333333333337</v>
      </c>
      <c r="D96" s="7">
        <v>90</v>
      </c>
      <c r="E96" s="28">
        <v>0.90625</v>
      </c>
      <c r="F96" s="29">
        <v>60</v>
      </c>
      <c r="G96" s="28">
        <v>0.84375</v>
      </c>
      <c r="H96" s="11"/>
      <c r="I96" s="28"/>
      <c r="J96" s="11"/>
      <c r="K96" s="28"/>
      <c r="L96" s="11"/>
      <c r="M96" s="28"/>
      <c r="N96" s="11"/>
      <c r="O96" s="28"/>
      <c r="P96" s="66"/>
      <c r="Q96" s="64"/>
      <c r="R96" s="64"/>
      <c r="S96" s="2"/>
      <c r="T96" s="2"/>
      <c r="U96" s="2"/>
    </row>
    <row r="97" spans="1:21" x14ac:dyDescent="0.25">
      <c r="A97" s="2"/>
      <c r="B97" s="29">
        <v>60</v>
      </c>
      <c r="C97" s="28">
        <v>0.94791666666666663</v>
      </c>
      <c r="D97" s="29">
        <v>90</v>
      </c>
      <c r="E97" s="28">
        <v>0.96875</v>
      </c>
      <c r="F97" s="7">
        <v>50</v>
      </c>
      <c r="G97" s="28">
        <v>0.92708333333333337</v>
      </c>
      <c r="H97" s="11"/>
      <c r="I97" s="28"/>
      <c r="J97" s="11"/>
      <c r="K97" s="28"/>
      <c r="L97" s="11"/>
      <c r="M97" s="28"/>
      <c r="N97" s="11"/>
      <c r="O97" s="28"/>
      <c r="P97" s="66"/>
      <c r="Q97" s="64"/>
      <c r="R97" s="64"/>
      <c r="S97" s="2"/>
      <c r="T97" s="2"/>
      <c r="U97" s="2"/>
    </row>
    <row r="98" spans="1:21" x14ac:dyDescent="0.25">
      <c r="A98" s="2"/>
      <c r="B98" s="11"/>
      <c r="C98" s="28"/>
      <c r="D98" s="31"/>
      <c r="E98" s="28"/>
      <c r="F98" s="29">
        <v>20</v>
      </c>
      <c r="G98" s="28">
        <v>0.97916666666666663</v>
      </c>
      <c r="H98" s="11"/>
      <c r="I98" s="28"/>
      <c r="J98" s="11"/>
      <c r="K98" s="28"/>
      <c r="L98" s="11"/>
      <c r="M98" s="28"/>
      <c r="N98" s="11"/>
      <c r="O98" s="28"/>
      <c r="P98" s="66"/>
      <c r="Q98" s="64"/>
      <c r="R98" s="64"/>
      <c r="S98" s="2"/>
      <c r="T98" s="2"/>
      <c r="U98" s="2"/>
    </row>
    <row r="99" spans="1:21" x14ac:dyDescent="0.25">
      <c r="A99" s="2"/>
      <c r="B99" s="50" t="s">
        <v>85</v>
      </c>
      <c r="C99" s="46" t="s">
        <v>9</v>
      </c>
      <c r="D99" s="50" t="s">
        <v>85</v>
      </c>
      <c r="E99" s="46" t="s">
        <v>39</v>
      </c>
      <c r="F99" s="50" t="s">
        <v>85</v>
      </c>
      <c r="G99" s="28" t="s">
        <v>47</v>
      </c>
      <c r="H99" s="50" t="s">
        <v>85</v>
      </c>
      <c r="I99" s="28" t="s">
        <v>17</v>
      </c>
      <c r="J99" s="50" t="s">
        <v>85</v>
      </c>
      <c r="K99" s="32" t="s">
        <v>40</v>
      </c>
      <c r="L99" s="50" t="s">
        <v>85</v>
      </c>
      <c r="M99" s="28" t="s">
        <v>50</v>
      </c>
      <c r="N99" s="50" t="s">
        <v>85</v>
      </c>
      <c r="O99" s="28" t="s">
        <v>25</v>
      </c>
      <c r="P99" s="66"/>
      <c r="Q99" s="64"/>
      <c r="R99" s="64"/>
      <c r="S99" s="2"/>
      <c r="T99" s="2"/>
      <c r="U99" s="2"/>
    </row>
    <row r="100" spans="1:21" x14ac:dyDescent="0.25">
      <c r="A100" s="2"/>
      <c r="B100" s="40"/>
      <c r="C100" s="46"/>
      <c r="D100" s="50" t="s">
        <v>85</v>
      </c>
      <c r="E100" s="20" t="s">
        <v>46</v>
      </c>
      <c r="F100" s="50" t="s">
        <v>85</v>
      </c>
      <c r="G100" s="28" t="s">
        <v>46</v>
      </c>
      <c r="H100" s="50" t="s">
        <v>85</v>
      </c>
      <c r="I100" s="46" t="s">
        <v>48</v>
      </c>
      <c r="J100" s="50" t="s">
        <v>85</v>
      </c>
      <c r="K100" s="28" t="s">
        <v>27</v>
      </c>
      <c r="L100" s="50" t="s">
        <v>85</v>
      </c>
      <c r="M100" s="28" t="s">
        <v>37</v>
      </c>
      <c r="N100" s="50" t="s">
        <v>85</v>
      </c>
      <c r="O100" s="28" t="s">
        <v>29</v>
      </c>
      <c r="P100" s="66"/>
      <c r="Q100" s="64"/>
      <c r="R100" s="64"/>
      <c r="S100" s="2"/>
      <c r="T100" s="2"/>
      <c r="U100" s="2"/>
    </row>
    <row r="101" spans="1:21" x14ac:dyDescent="0.25">
      <c r="A101" s="2"/>
      <c r="B101" s="40"/>
      <c r="C101" s="46"/>
      <c r="D101" s="40"/>
      <c r="E101" s="20"/>
      <c r="F101" s="41"/>
      <c r="G101" s="28"/>
      <c r="H101" s="50" t="s">
        <v>85</v>
      </c>
      <c r="I101" s="46" t="s">
        <v>49</v>
      </c>
      <c r="J101" s="50" t="s">
        <v>85</v>
      </c>
      <c r="K101" s="28" t="s">
        <v>6</v>
      </c>
      <c r="L101" s="50" t="s">
        <v>85</v>
      </c>
      <c r="M101" s="28" t="s">
        <v>49</v>
      </c>
      <c r="N101" s="40"/>
      <c r="O101" s="20"/>
      <c r="P101" s="66"/>
      <c r="Q101" s="64"/>
      <c r="R101" s="64"/>
      <c r="S101" s="2"/>
      <c r="T101" s="2"/>
      <c r="U101" s="2"/>
    </row>
    <row r="102" spans="1:21" x14ac:dyDescent="0.25">
      <c r="A102" s="2"/>
      <c r="B102" s="40"/>
      <c r="C102" s="20"/>
      <c r="D102" s="40"/>
      <c r="E102" s="20"/>
      <c r="F102" s="40"/>
      <c r="G102" s="20"/>
      <c r="H102" s="40"/>
      <c r="I102" s="20"/>
      <c r="J102" s="40"/>
      <c r="K102" s="20"/>
      <c r="L102" s="40"/>
      <c r="M102" s="20"/>
      <c r="N102" s="40"/>
      <c r="O102" s="20"/>
      <c r="P102" s="66"/>
      <c r="Q102" s="64"/>
      <c r="R102" s="64"/>
      <c r="S102" s="2"/>
      <c r="T102" s="2"/>
      <c r="U102" s="2"/>
    </row>
    <row r="103" spans="1:21" x14ac:dyDescent="0.25">
      <c r="A103" s="2"/>
      <c r="B103" s="23">
        <v>45</v>
      </c>
      <c r="C103" s="12"/>
      <c r="D103" s="23">
        <v>90</v>
      </c>
      <c r="E103" s="12"/>
      <c r="F103" s="23">
        <v>90</v>
      </c>
      <c r="G103" s="12"/>
      <c r="H103" s="23">
        <v>180</v>
      </c>
      <c r="I103" s="12"/>
      <c r="J103" s="23">
        <v>135</v>
      </c>
      <c r="K103" s="12"/>
      <c r="L103" s="23">
        <v>135</v>
      </c>
      <c r="M103" s="12"/>
      <c r="N103" s="23">
        <v>90</v>
      </c>
      <c r="O103" s="12"/>
      <c r="P103" s="66"/>
      <c r="Q103" s="64"/>
      <c r="R103" s="64"/>
      <c r="S103" s="2"/>
      <c r="T103" s="2"/>
      <c r="U103" s="2"/>
    </row>
    <row r="104" spans="1:21" x14ac:dyDescent="0.25">
      <c r="A104" s="2"/>
      <c r="B104" s="19"/>
      <c r="C104" s="12"/>
      <c r="D104" s="19"/>
      <c r="E104" s="12"/>
      <c r="F104" s="19"/>
      <c r="G104" s="12"/>
      <c r="H104" s="19"/>
      <c r="I104" s="12"/>
      <c r="J104" s="19"/>
      <c r="K104" s="12"/>
      <c r="L104" s="19"/>
      <c r="M104" s="12"/>
      <c r="N104" s="19"/>
      <c r="O104" s="12"/>
      <c r="P104" s="66"/>
      <c r="Q104" s="64"/>
      <c r="R104" s="64"/>
      <c r="S104" s="2"/>
      <c r="T104" s="2"/>
      <c r="U104" s="2"/>
    </row>
    <row r="105" spans="1:21" x14ac:dyDescent="0.25">
      <c r="A105" s="2"/>
      <c r="B105" s="24" t="s">
        <v>13</v>
      </c>
      <c r="C105" s="12"/>
      <c r="D105" s="24" t="s">
        <v>13</v>
      </c>
      <c r="E105" s="12"/>
      <c r="F105" s="24" t="s">
        <v>13</v>
      </c>
      <c r="G105" s="12"/>
      <c r="H105" s="24" t="s">
        <v>13</v>
      </c>
      <c r="I105" s="12"/>
      <c r="J105" s="24" t="s">
        <v>13</v>
      </c>
      <c r="K105" s="12"/>
      <c r="L105" s="24" t="s">
        <v>13</v>
      </c>
      <c r="M105" s="12"/>
      <c r="N105" s="24" t="s">
        <v>13</v>
      </c>
      <c r="O105" s="12"/>
      <c r="P105" s="66" t="s">
        <v>67</v>
      </c>
      <c r="Q105" s="64"/>
      <c r="R105" s="64"/>
      <c r="S105" s="2"/>
      <c r="T105" s="2"/>
      <c r="U105" s="2"/>
    </row>
    <row r="106" spans="1:21" ht="15.75" thickBot="1" x14ac:dyDescent="0.3">
      <c r="A106" s="2"/>
      <c r="B106" s="25">
        <f>SUM(B89:B97)+B103</f>
        <v>915</v>
      </c>
      <c r="C106" s="26"/>
      <c r="D106" s="25">
        <f>SUM(D89:D98)+D103</f>
        <v>840</v>
      </c>
      <c r="E106" s="26"/>
      <c r="F106" s="25">
        <f>SUM(F89:F98)+F103</f>
        <v>820</v>
      </c>
      <c r="G106" s="26"/>
      <c r="H106" s="25">
        <f>SUM(H89:H96)+H103</f>
        <v>710</v>
      </c>
      <c r="I106" s="26"/>
      <c r="J106" s="25">
        <f>SUM(J89:J96)+J103</f>
        <v>595</v>
      </c>
      <c r="K106" s="26"/>
      <c r="L106" s="25">
        <f>SUM(L89:L98)+L103</f>
        <v>775</v>
      </c>
      <c r="M106" s="26"/>
      <c r="N106" s="25">
        <f>SUM(N89:N98)+N103</f>
        <v>670</v>
      </c>
      <c r="O106" s="26"/>
      <c r="P106" s="67">
        <f>SUM(B106:O106)/7</f>
        <v>760.71428571428567</v>
      </c>
      <c r="Q106" s="64"/>
      <c r="R106" s="64"/>
      <c r="S106" s="2"/>
      <c r="T106" s="2"/>
      <c r="U106" s="2"/>
    </row>
    <row r="107" spans="1:21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66"/>
      <c r="Q107" s="64"/>
      <c r="R107" s="64"/>
      <c r="S107" s="2"/>
      <c r="T107" s="2"/>
      <c r="U107" s="2"/>
    </row>
    <row r="108" spans="1:21" x14ac:dyDescent="0.25">
      <c r="A108" s="2"/>
      <c r="B108" s="73">
        <v>45902</v>
      </c>
      <c r="C108" s="74"/>
      <c r="D108" s="73">
        <v>45903</v>
      </c>
      <c r="E108" s="74"/>
      <c r="F108" s="73">
        <v>45904</v>
      </c>
      <c r="G108" s="74"/>
      <c r="H108" s="73">
        <v>45905</v>
      </c>
      <c r="I108" s="74"/>
      <c r="J108" s="73">
        <v>45906</v>
      </c>
      <c r="K108" s="74"/>
      <c r="L108" s="73">
        <v>45907</v>
      </c>
      <c r="M108" s="74"/>
      <c r="N108" s="73">
        <v>45908</v>
      </c>
      <c r="O108" s="74"/>
      <c r="P108" s="66"/>
      <c r="Q108" s="64"/>
      <c r="R108" s="64"/>
      <c r="S108" s="2"/>
      <c r="T108" s="2"/>
      <c r="U108" s="2"/>
    </row>
    <row r="109" spans="1:21" x14ac:dyDescent="0.25">
      <c r="A109" s="2"/>
      <c r="B109" s="3" t="s">
        <v>11</v>
      </c>
      <c r="C109" s="4" t="s">
        <v>12</v>
      </c>
      <c r="D109" s="3" t="s">
        <v>11</v>
      </c>
      <c r="E109" s="4" t="s">
        <v>12</v>
      </c>
      <c r="F109" s="3" t="s">
        <v>11</v>
      </c>
      <c r="G109" s="4" t="s">
        <v>12</v>
      </c>
      <c r="H109" s="3" t="s">
        <v>11</v>
      </c>
      <c r="I109" s="4" t="s">
        <v>12</v>
      </c>
      <c r="J109" s="3" t="s">
        <v>11</v>
      </c>
      <c r="K109" s="4" t="s">
        <v>12</v>
      </c>
      <c r="L109" s="3" t="s">
        <v>11</v>
      </c>
      <c r="M109" s="4" t="s">
        <v>12</v>
      </c>
      <c r="N109" s="3" t="s">
        <v>11</v>
      </c>
      <c r="O109" s="4" t="s">
        <v>12</v>
      </c>
      <c r="P109" s="66"/>
      <c r="Q109" s="64"/>
      <c r="R109" s="64"/>
      <c r="S109" s="2"/>
      <c r="T109" s="2"/>
      <c r="U109" s="2"/>
    </row>
    <row r="110" spans="1:21" x14ac:dyDescent="0.25">
      <c r="A110" s="2"/>
      <c r="B110" s="29">
        <v>120</v>
      </c>
      <c r="C110" s="28">
        <v>8.3333333333333329E-2</v>
      </c>
      <c r="D110" s="29">
        <v>120</v>
      </c>
      <c r="E110" s="28">
        <v>0.14583333333333334</v>
      </c>
      <c r="F110" s="29">
        <v>120</v>
      </c>
      <c r="G110" s="28">
        <v>0.13541666666666666</v>
      </c>
      <c r="H110" s="29">
        <v>120</v>
      </c>
      <c r="I110" s="28">
        <v>0.17708333333333334</v>
      </c>
      <c r="J110" s="29">
        <v>120</v>
      </c>
      <c r="K110" s="28">
        <v>0.14583333333333334</v>
      </c>
      <c r="L110" s="29">
        <v>120</v>
      </c>
      <c r="M110" s="28">
        <v>0.15625</v>
      </c>
      <c r="N110" s="29">
        <v>120</v>
      </c>
      <c r="O110" s="28">
        <v>0.21875</v>
      </c>
      <c r="P110" s="66"/>
      <c r="Q110" s="64"/>
      <c r="R110" s="64"/>
      <c r="S110" s="2"/>
      <c r="T110" s="2"/>
      <c r="U110" s="2"/>
    </row>
    <row r="111" spans="1:21" x14ac:dyDescent="0.25">
      <c r="A111" s="2"/>
      <c r="B111" s="29">
        <v>120</v>
      </c>
      <c r="C111" s="28">
        <v>0.21875</v>
      </c>
      <c r="D111" s="29">
        <v>120</v>
      </c>
      <c r="E111" s="28">
        <v>0.22916666666666666</v>
      </c>
      <c r="F111" s="29">
        <v>120</v>
      </c>
      <c r="G111" s="28">
        <v>0.22916666666666666</v>
      </c>
      <c r="H111" s="29">
        <v>120</v>
      </c>
      <c r="I111" s="28">
        <v>0.28125</v>
      </c>
      <c r="J111" s="29">
        <v>120</v>
      </c>
      <c r="K111" s="28">
        <v>0.23958333333333334</v>
      </c>
      <c r="L111" s="29">
        <v>90</v>
      </c>
      <c r="M111" s="28">
        <v>0.25</v>
      </c>
      <c r="N111" s="29">
        <v>120</v>
      </c>
      <c r="O111" s="28">
        <v>0.33333333333333331</v>
      </c>
      <c r="P111" s="66"/>
      <c r="Q111" s="64"/>
      <c r="R111" s="64"/>
      <c r="S111" s="2"/>
      <c r="T111" s="2"/>
      <c r="U111" s="2"/>
    </row>
    <row r="112" spans="1:21" x14ac:dyDescent="0.25">
      <c r="A112" s="2"/>
      <c r="B112" s="29">
        <v>30</v>
      </c>
      <c r="C112" s="28">
        <v>0.30208333333333331</v>
      </c>
      <c r="D112" s="29">
        <v>30</v>
      </c>
      <c r="E112" s="28">
        <v>0.35416666666666669</v>
      </c>
      <c r="F112" s="38">
        <v>100</v>
      </c>
      <c r="G112" s="28">
        <v>0.375</v>
      </c>
      <c r="H112" s="38">
        <v>30</v>
      </c>
      <c r="I112" s="28">
        <v>0.39583333333333331</v>
      </c>
      <c r="J112" s="38">
        <v>60</v>
      </c>
      <c r="K112" s="28">
        <v>0.35416666666666669</v>
      </c>
      <c r="L112" s="29">
        <v>120</v>
      </c>
      <c r="M112" s="28">
        <v>0.40625</v>
      </c>
      <c r="N112" s="29">
        <v>120</v>
      </c>
      <c r="O112" s="28">
        <v>0.5</v>
      </c>
      <c r="P112" s="66"/>
      <c r="Q112" s="64"/>
      <c r="R112" s="64"/>
      <c r="S112" s="2"/>
      <c r="T112" s="2"/>
      <c r="U112" s="2"/>
    </row>
    <row r="113" spans="1:21" x14ac:dyDescent="0.25">
      <c r="A113" s="2"/>
      <c r="B113" s="29">
        <v>60</v>
      </c>
      <c r="C113" s="28">
        <v>0.375</v>
      </c>
      <c r="D113" s="38">
        <v>60</v>
      </c>
      <c r="E113" s="28">
        <v>0.5625</v>
      </c>
      <c r="F113" s="38">
        <v>90</v>
      </c>
      <c r="G113" s="28">
        <v>0.51041666666666663</v>
      </c>
      <c r="H113" s="38">
        <v>60</v>
      </c>
      <c r="I113" s="28">
        <v>0.55208333333333337</v>
      </c>
      <c r="J113" s="38">
        <v>20</v>
      </c>
      <c r="K113" s="28">
        <v>0.57291666666666663</v>
      </c>
      <c r="L113" s="38">
        <v>120</v>
      </c>
      <c r="M113" s="28">
        <v>0.61458333333333337</v>
      </c>
      <c r="N113" s="38">
        <v>30</v>
      </c>
      <c r="O113" s="28">
        <v>0.64583333333333337</v>
      </c>
      <c r="P113" s="66"/>
      <c r="Q113" s="80" t="s">
        <v>78</v>
      </c>
      <c r="R113" s="80"/>
      <c r="S113" s="2"/>
      <c r="T113" s="2"/>
      <c r="U113" s="2"/>
    </row>
    <row r="114" spans="1:21" x14ac:dyDescent="0.25">
      <c r="A114" s="2"/>
      <c r="B114" s="5">
        <v>50</v>
      </c>
      <c r="C114" s="28">
        <v>0.45833333333333331</v>
      </c>
      <c r="D114" s="38">
        <v>120</v>
      </c>
      <c r="E114" s="28">
        <v>0.71875</v>
      </c>
      <c r="F114" s="38">
        <v>120</v>
      </c>
      <c r="G114" s="28">
        <v>0.63541666666666663</v>
      </c>
      <c r="H114" s="38">
        <v>90</v>
      </c>
      <c r="I114" s="28">
        <v>0.70833333333333337</v>
      </c>
      <c r="J114" s="38">
        <v>30</v>
      </c>
      <c r="K114" s="28">
        <v>0.66666666666666663</v>
      </c>
      <c r="L114" s="38">
        <v>30</v>
      </c>
      <c r="M114" s="28">
        <v>0.72916666666666663</v>
      </c>
      <c r="N114" s="29">
        <v>60</v>
      </c>
      <c r="O114" s="28">
        <v>0.86458333333333337</v>
      </c>
      <c r="P114" s="66"/>
      <c r="Q114" s="81" t="s">
        <v>82</v>
      </c>
      <c r="R114" s="81"/>
      <c r="S114" s="2"/>
      <c r="T114" s="2"/>
      <c r="U114" s="2"/>
    </row>
    <row r="115" spans="1:21" x14ac:dyDescent="0.25">
      <c r="A115" s="2"/>
      <c r="B115" s="5">
        <v>90</v>
      </c>
      <c r="C115" s="28">
        <v>0.58333333333333337</v>
      </c>
      <c r="D115" s="39">
        <v>60</v>
      </c>
      <c r="E115" s="28">
        <v>0.875</v>
      </c>
      <c r="F115" s="38">
        <v>60</v>
      </c>
      <c r="G115" s="28">
        <v>0.73958333333333337</v>
      </c>
      <c r="H115" s="38">
        <v>60</v>
      </c>
      <c r="I115" s="28">
        <v>0.89583333333333337</v>
      </c>
      <c r="J115" s="29">
        <v>120</v>
      </c>
      <c r="K115" s="28">
        <v>0.85416666666666663</v>
      </c>
      <c r="L115" s="38">
        <v>120</v>
      </c>
      <c r="M115" s="28">
        <v>0.79166666666666663</v>
      </c>
      <c r="N115" s="39">
        <v>60</v>
      </c>
      <c r="O115" s="28">
        <v>0.875</v>
      </c>
      <c r="P115" s="66"/>
      <c r="Q115" s="82" t="s">
        <v>83</v>
      </c>
      <c r="R115" s="82"/>
      <c r="S115" s="2"/>
      <c r="T115" s="2"/>
      <c r="U115" s="2"/>
    </row>
    <row r="116" spans="1:21" x14ac:dyDescent="0.25">
      <c r="A116" s="2"/>
      <c r="B116" s="5">
        <v>80</v>
      </c>
      <c r="C116" s="28">
        <v>0.76041666666666663</v>
      </c>
      <c r="D116" s="29">
        <v>60</v>
      </c>
      <c r="E116" s="28">
        <v>0.88541666666666663</v>
      </c>
      <c r="F116" s="29">
        <v>120</v>
      </c>
      <c r="G116" s="28">
        <v>0.95833333333333337</v>
      </c>
      <c r="H116" s="40"/>
      <c r="I116" s="28"/>
      <c r="J116" s="29">
        <v>120</v>
      </c>
      <c r="K116" s="28">
        <v>0.94791666666666663</v>
      </c>
      <c r="L116" s="39">
        <v>60</v>
      </c>
      <c r="M116" s="28">
        <v>0.94791666666666663</v>
      </c>
      <c r="N116" s="40"/>
      <c r="O116" s="28"/>
      <c r="P116" s="66"/>
      <c r="Q116" s="79" t="s">
        <v>84</v>
      </c>
      <c r="R116" s="79"/>
      <c r="S116" s="79"/>
      <c r="T116" s="79"/>
      <c r="U116" s="2"/>
    </row>
    <row r="117" spans="1:21" x14ac:dyDescent="0.25">
      <c r="A117" s="2"/>
      <c r="B117" s="29">
        <v>110</v>
      </c>
      <c r="C117" s="28">
        <v>0.91666666666666663</v>
      </c>
      <c r="D117" s="29">
        <v>90</v>
      </c>
      <c r="E117" s="28">
        <v>0.96875</v>
      </c>
      <c r="F117" s="40"/>
      <c r="G117" s="28"/>
      <c r="H117" s="40"/>
      <c r="I117" s="28"/>
      <c r="J117" s="40"/>
      <c r="K117" s="28"/>
      <c r="L117" s="29">
        <v>60</v>
      </c>
      <c r="M117" s="28">
        <v>0.95833333333333337</v>
      </c>
      <c r="N117" s="40"/>
      <c r="O117" s="28"/>
      <c r="P117" s="66"/>
      <c r="Q117" s="64"/>
      <c r="R117" s="64"/>
      <c r="S117" s="2"/>
      <c r="T117" s="2"/>
      <c r="U117" s="2"/>
    </row>
    <row r="118" spans="1:21" x14ac:dyDescent="0.25">
      <c r="A118" s="2"/>
      <c r="B118" s="11"/>
      <c r="C118" s="28"/>
      <c r="D118" s="14"/>
      <c r="E118" s="28"/>
      <c r="F118" s="14"/>
      <c r="G118" s="28"/>
      <c r="H118" s="14"/>
      <c r="I118" s="28"/>
      <c r="J118" s="14"/>
      <c r="K118" s="28"/>
      <c r="L118" s="14"/>
      <c r="M118" s="28"/>
      <c r="N118" s="14"/>
      <c r="O118" s="28"/>
      <c r="P118" s="66"/>
      <c r="Q118" s="64"/>
      <c r="R118" s="64"/>
      <c r="S118" s="2"/>
      <c r="T118" s="2"/>
      <c r="U118" s="2"/>
    </row>
    <row r="119" spans="1:21" x14ac:dyDescent="0.25">
      <c r="A119" s="2"/>
      <c r="B119" s="11"/>
      <c r="C119" s="28"/>
      <c r="D119" s="14"/>
      <c r="E119" s="28"/>
      <c r="F119" s="14"/>
      <c r="G119" s="28"/>
      <c r="H119" s="14"/>
      <c r="I119" s="28"/>
      <c r="J119" s="14"/>
      <c r="K119" s="28"/>
      <c r="L119" s="14"/>
      <c r="M119" s="28"/>
      <c r="N119" s="14"/>
      <c r="O119" s="28"/>
      <c r="P119" s="66"/>
      <c r="Q119" s="64"/>
      <c r="R119" s="64"/>
      <c r="S119" s="2"/>
      <c r="T119" s="2"/>
      <c r="U119" s="2"/>
    </row>
    <row r="120" spans="1:21" x14ac:dyDescent="0.25">
      <c r="A120" s="2"/>
      <c r="B120" s="50" t="s">
        <v>85</v>
      </c>
      <c r="C120" s="46" t="s">
        <v>51</v>
      </c>
      <c r="D120" s="50" t="s">
        <v>85</v>
      </c>
      <c r="E120" s="46" t="s">
        <v>55</v>
      </c>
      <c r="F120" s="50" t="s">
        <v>85</v>
      </c>
      <c r="G120" s="28" t="s">
        <v>31</v>
      </c>
      <c r="H120" s="50" t="s">
        <v>85</v>
      </c>
      <c r="I120" s="28" t="s">
        <v>57</v>
      </c>
      <c r="J120" s="50" t="s">
        <v>85</v>
      </c>
      <c r="K120" s="32" t="s">
        <v>58</v>
      </c>
      <c r="L120" s="50" t="s">
        <v>85</v>
      </c>
      <c r="M120" s="28" t="s">
        <v>6</v>
      </c>
      <c r="N120" s="50" t="s">
        <v>85</v>
      </c>
      <c r="O120" s="28" t="s">
        <v>34</v>
      </c>
      <c r="P120" s="66"/>
      <c r="Q120" s="64"/>
      <c r="R120" s="64"/>
      <c r="S120" s="2"/>
      <c r="T120" s="2"/>
      <c r="U120" s="2"/>
    </row>
    <row r="121" spans="1:21" x14ac:dyDescent="0.25">
      <c r="A121" s="2"/>
      <c r="B121" s="40"/>
      <c r="C121" s="46"/>
      <c r="D121" s="50" t="s">
        <v>85</v>
      </c>
      <c r="E121" s="20" t="s">
        <v>56</v>
      </c>
      <c r="F121" s="50" t="s">
        <v>85</v>
      </c>
      <c r="G121" s="28" t="s">
        <v>6</v>
      </c>
      <c r="H121" s="50" t="s">
        <v>85</v>
      </c>
      <c r="I121" s="46" t="s">
        <v>9</v>
      </c>
      <c r="J121" s="50" t="s">
        <v>85</v>
      </c>
      <c r="K121" s="28" t="s">
        <v>59</v>
      </c>
      <c r="L121" s="40"/>
      <c r="M121" s="28"/>
      <c r="N121" s="50" t="s">
        <v>85</v>
      </c>
      <c r="O121" s="28" t="s">
        <v>15</v>
      </c>
      <c r="P121" s="66"/>
      <c r="Q121" s="64"/>
      <c r="R121" s="64"/>
      <c r="S121" s="2"/>
      <c r="T121" s="2"/>
      <c r="U121" s="2"/>
    </row>
    <row r="122" spans="1:21" x14ac:dyDescent="0.25">
      <c r="A122" s="2"/>
      <c r="B122" s="40"/>
      <c r="C122" s="46"/>
      <c r="D122" s="50" t="s">
        <v>85</v>
      </c>
      <c r="E122" s="20" t="s">
        <v>10</v>
      </c>
      <c r="F122" s="41"/>
      <c r="G122" s="28"/>
      <c r="H122" s="40"/>
      <c r="I122" s="46"/>
      <c r="J122" s="50" t="s">
        <v>85</v>
      </c>
      <c r="K122" s="28" t="s">
        <v>60</v>
      </c>
      <c r="L122" s="40"/>
      <c r="M122" s="28"/>
      <c r="N122" s="40"/>
      <c r="O122" s="20"/>
      <c r="P122" s="66"/>
      <c r="Q122" s="64"/>
      <c r="R122" s="64"/>
      <c r="S122" s="2"/>
      <c r="T122" s="2"/>
      <c r="U122" s="2"/>
    </row>
    <row r="123" spans="1:21" x14ac:dyDescent="0.25">
      <c r="A123" s="2"/>
      <c r="B123" s="40"/>
      <c r="C123" s="20"/>
      <c r="D123" s="40"/>
      <c r="E123" s="20"/>
      <c r="F123" s="40"/>
      <c r="G123" s="20"/>
      <c r="H123" s="40"/>
      <c r="I123" s="20"/>
      <c r="J123" s="50" t="s">
        <v>85</v>
      </c>
      <c r="K123" s="20" t="s">
        <v>61</v>
      </c>
      <c r="L123" s="40"/>
      <c r="M123" s="20"/>
      <c r="N123" s="40"/>
      <c r="O123" s="20"/>
      <c r="P123" s="66"/>
      <c r="Q123" s="64"/>
      <c r="R123" s="64"/>
      <c r="S123" s="2"/>
      <c r="T123" s="2"/>
      <c r="U123" s="2"/>
    </row>
    <row r="124" spans="1:21" x14ac:dyDescent="0.25">
      <c r="A124" s="2"/>
      <c r="B124" s="23">
        <v>45</v>
      </c>
      <c r="C124" s="12"/>
      <c r="D124" s="23">
        <v>135</v>
      </c>
      <c r="E124" s="12"/>
      <c r="F124" s="23">
        <v>90</v>
      </c>
      <c r="G124" s="12"/>
      <c r="H124" s="23">
        <v>90</v>
      </c>
      <c r="I124" s="12"/>
      <c r="J124" s="23">
        <v>270</v>
      </c>
      <c r="K124" s="12"/>
      <c r="L124" s="23">
        <v>45</v>
      </c>
      <c r="M124" s="12"/>
      <c r="N124" s="23">
        <v>135</v>
      </c>
      <c r="O124" s="12"/>
      <c r="P124" s="66"/>
      <c r="Q124" s="64"/>
      <c r="R124" s="64"/>
      <c r="S124" s="2"/>
      <c r="T124" s="2"/>
      <c r="U124" s="2"/>
    </row>
    <row r="125" spans="1:21" x14ac:dyDescent="0.25">
      <c r="A125" s="2"/>
      <c r="B125" s="19"/>
      <c r="C125" s="12"/>
      <c r="D125" s="19"/>
      <c r="E125" s="12"/>
      <c r="F125" s="19"/>
      <c r="G125" s="12"/>
      <c r="H125" s="19"/>
      <c r="I125" s="12"/>
      <c r="J125" s="19"/>
      <c r="K125" s="12"/>
      <c r="L125" s="19"/>
      <c r="M125" s="12"/>
      <c r="N125" s="19"/>
      <c r="O125" s="12"/>
      <c r="P125" s="66"/>
      <c r="Q125" s="64"/>
      <c r="R125" s="64"/>
      <c r="S125" s="2"/>
      <c r="T125" s="2"/>
      <c r="U125" s="2"/>
    </row>
    <row r="126" spans="1:21" x14ac:dyDescent="0.25">
      <c r="A126" s="2"/>
      <c r="B126" s="24" t="s">
        <v>13</v>
      </c>
      <c r="C126" s="12"/>
      <c r="D126" s="24" t="s">
        <v>13</v>
      </c>
      <c r="E126" s="12"/>
      <c r="F126" s="24" t="s">
        <v>13</v>
      </c>
      <c r="G126" s="12"/>
      <c r="H126" s="24" t="s">
        <v>13</v>
      </c>
      <c r="I126" s="12"/>
      <c r="J126" s="24" t="s">
        <v>13</v>
      </c>
      <c r="K126" s="12"/>
      <c r="L126" s="24" t="s">
        <v>13</v>
      </c>
      <c r="M126" s="12"/>
      <c r="N126" s="24" t="s">
        <v>13</v>
      </c>
      <c r="O126" s="12"/>
      <c r="P126" s="66" t="s">
        <v>67</v>
      </c>
      <c r="Q126" s="64"/>
      <c r="R126" s="64"/>
      <c r="S126" s="2"/>
      <c r="T126" s="2"/>
      <c r="U126" s="2"/>
    </row>
    <row r="127" spans="1:21" ht="15.75" thickBot="1" x14ac:dyDescent="0.3">
      <c r="A127" s="2"/>
      <c r="B127" s="25">
        <f>SUM(B110:B118)+B124</f>
        <v>705</v>
      </c>
      <c r="C127" s="26"/>
      <c r="D127" s="25">
        <f>SUM(D110:D119)+D124</f>
        <v>795</v>
      </c>
      <c r="E127" s="26"/>
      <c r="F127" s="25">
        <f>SUM(F110:F119)+F124</f>
        <v>820</v>
      </c>
      <c r="G127" s="26"/>
      <c r="H127" s="25">
        <f>SUM(H110:H117)+H124</f>
        <v>570</v>
      </c>
      <c r="I127" s="26"/>
      <c r="J127" s="25">
        <f>SUM(J110:J117)+J124</f>
        <v>860</v>
      </c>
      <c r="K127" s="26"/>
      <c r="L127" s="25">
        <f>SUM(L110:L119)+L124</f>
        <v>765</v>
      </c>
      <c r="M127" s="26"/>
      <c r="N127" s="25">
        <f>SUM(N110:N119)+N124</f>
        <v>645</v>
      </c>
      <c r="O127" s="26"/>
      <c r="P127" s="67">
        <f>SUM(B127:O127)/7</f>
        <v>737.14285714285711</v>
      </c>
      <c r="Q127" s="64"/>
      <c r="R127" s="64"/>
      <c r="S127" s="2"/>
      <c r="T127" s="2"/>
      <c r="U127" s="2"/>
    </row>
    <row r="128" spans="1:21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66"/>
      <c r="Q128" s="64"/>
      <c r="R128" s="64"/>
      <c r="S128" s="2"/>
      <c r="T128" s="2"/>
      <c r="U128" s="2"/>
    </row>
    <row r="129" spans="2:20" x14ac:dyDescent="0.25">
      <c r="B129" s="73">
        <v>45909</v>
      </c>
      <c r="C129" s="74"/>
      <c r="D129" s="73">
        <v>45910</v>
      </c>
      <c r="E129" s="74"/>
      <c r="F129" s="73">
        <v>45911</v>
      </c>
      <c r="G129" s="74"/>
      <c r="H129" s="73">
        <v>45912</v>
      </c>
      <c r="I129" s="74"/>
      <c r="J129" s="73">
        <v>45913</v>
      </c>
      <c r="K129" s="74"/>
      <c r="L129" s="73">
        <v>45914</v>
      </c>
      <c r="M129" s="74"/>
      <c r="N129" s="73">
        <v>45915</v>
      </c>
      <c r="O129" s="74"/>
      <c r="P129" s="66"/>
      <c r="Q129" s="64"/>
      <c r="R129" s="64"/>
      <c r="S129" s="2"/>
      <c r="T129" s="2"/>
    </row>
    <row r="130" spans="2:20" x14ac:dyDescent="0.25">
      <c r="B130" s="3" t="s">
        <v>11</v>
      </c>
      <c r="C130" s="4" t="s">
        <v>12</v>
      </c>
      <c r="D130" s="3" t="s">
        <v>11</v>
      </c>
      <c r="E130" s="4" t="s">
        <v>12</v>
      </c>
      <c r="F130" s="3" t="s">
        <v>11</v>
      </c>
      <c r="G130" s="4" t="s">
        <v>12</v>
      </c>
      <c r="H130" s="3" t="s">
        <v>11</v>
      </c>
      <c r="I130" s="4" t="s">
        <v>12</v>
      </c>
      <c r="J130" s="3" t="s">
        <v>11</v>
      </c>
      <c r="K130" s="4" t="s">
        <v>12</v>
      </c>
      <c r="L130" s="3" t="s">
        <v>11</v>
      </c>
      <c r="M130" s="4" t="s">
        <v>12</v>
      </c>
      <c r="N130" s="3" t="s">
        <v>11</v>
      </c>
      <c r="O130" s="4" t="s">
        <v>12</v>
      </c>
      <c r="P130" s="66"/>
      <c r="Q130" s="64"/>
      <c r="R130" s="64"/>
      <c r="S130" s="2"/>
      <c r="T130" s="2"/>
    </row>
    <row r="131" spans="2:20" x14ac:dyDescent="0.25">
      <c r="B131" s="29">
        <v>120</v>
      </c>
      <c r="C131" s="28">
        <v>3.125E-2</v>
      </c>
      <c r="D131" s="29">
        <v>120</v>
      </c>
      <c r="E131" s="28">
        <v>0.10416666666666667</v>
      </c>
      <c r="F131" s="29">
        <v>120</v>
      </c>
      <c r="G131" s="28">
        <v>0.13541666666666666</v>
      </c>
      <c r="H131" s="29">
        <v>120</v>
      </c>
      <c r="I131" s="28">
        <v>0.16666666666666666</v>
      </c>
      <c r="J131" s="29">
        <v>120</v>
      </c>
      <c r="K131" s="28">
        <v>0.10416666666666667</v>
      </c>
      <c r="L131" s="29">
        <v>120</v>
      </c>
      <c r="M131" s="28">
        <v>0.125</v>
      </c>
      <c r="N131" s="47">
        <v>150</v>
      </c>
      <c r="O131" s="28">
        <v>0.125</v>
      </c>
      <c r="P131" s="66"/>
      <c r="Q131" s="64"/>
      <c r="R131" s="64"/>
      <c r="S131" s="2"/>
      <c r="T131" s="2"/>
    </row>
    <row r="132" spans="2:20" x14ac:dyDescent="0.25">
      <c r="B132" s="29">
        <v>120</v>
      </c>
      <c r="C132" s="28">
        <v>0.19791666666666666</v>
      </c>
      <c r="D132" s="29">
        <v>120</v>
      </c>
      <c r="E132" s="28">
        <v>0.22916666666666666</v>
      </c>
      <c r="F132" s="29">
        <v>30</v>
      </c>
      <c r="G132" s="28">
        <v>0.23958333333333334</v>
      </c>
      <c r="H132" s="29">
        <v>120</v>
      </c>
      <c r="I132" s="28">
        <v>0.34375</v>
      </c>
      <c r="J132" s="29">
        <v>120</v>
      </c>
      <c r="K132" s="28">
        <v>0.29166666666666669</v>
      </c>
      <c r="L132" s="29">
        <v>100</v>
      </c>
      <c r="M132" s="28">
        <v>0.29166666666666669</v>
      </c>
      <c r="N132" s="47">
        <v>150</v>
      </c>
      <c r="O132" s="28">
        <v>0.22916666666666666</v>
      </c>
      <c r="P132" s="66"/>
      <c r="Q132" s="64"/>
      <c r="R132" s="64"/>
      <c r="S132" s="2"/>
      <c r="T132" s="2"/>
    </row>
    <row r="133" spans="2:20" x14ac:dyDescent="0.25">
      <c r="B133" s="29">
        <v>120</v>
      </c>
      <c r="C133" s="28">
        <v>0.33333333333333331</v>
      </c>
      <c r="D133" s="29">
        <v>100</v>
      </c>
      <c r="E133" s="28">
        <v>0.375</v>
      </c>
      <c r="F133" s="38">
        <v>120</v>
      </c>
      <c r="G133" s="28">
        <v>0.5625</v>
      </c>
      <c r="H133" s="38">
        <v>60</v>
      </c>
      <c r="I133" s="28">
        <v>0.47916666666666669</v>
      </c>
      <c r="J133" s="29">
        <v>80</v>
      </c>
      <c r="K133" s="28">
        <v>0.40625</v>
      </c>
      <c r="L133" s="38">
        <v>30</v>
      </c>
      <c r="M133" s="28">
        <v>0.4375</v>
      </c>
      <c r="N133" s="47">
        <v>120</v>
      </c>
      <c r="O133" s="28">
        <v>0.32291666666666669</v>
      </c>
      <c r="P133" s="66"/>
      <c r="Q133" s="64"/>
      <c r="R133" s="64"/>
      <c r="S133" s="2"/>
      <c r="T133" s="2"/>
    </row>
    <row r="134" spans="2:20" x14ac:dyDescent="0.25">
      <c r="B134" s="38">
        <v>120</v>
      </c>
      <c r="C134" s="28">
        <v>0.45833333333333331</v>
      </c>
      <c r="D134" s="38">
        <v>100</v>
      </c>
      <c r="E134" s="28">
        <v>0.45833333333333331</v>
      </c>
      <c r="F134" s="29">
        <v>60</v>
      </c>
      <c r="G134" s="28">
        <v>0.65625</v>
      </c>
      <c r="H134" s="38">
        <v>90</v>
      </c>
      <c r="I134" s="28">
        <v>0.75</v>
      </c>
      <c r="J134" s="29">
        <v>20</v>
      </c>
      <c r="K134" s="28">
        <v>0.57291666666666663</v>
      </c>
      <c r="L134" s="38">
        <v>150</v>
      </c>
      <c r="M134" s="28">
        <v>0.61458333333333337</v>
      </c>
      <c r="N134" s="47">
        <v>30</v>
      </c>
      <c r="O134" s="28">
        <v>0.44444444444444442</v>
      </c>
      <c r="P134" s="66"/>
      <c r="Q134" s="80" t="s">
        <v>78</v>
      </c>
      <c r="R134" s="80"/>
      <c r="S134" s="2"/>
      <c r="T134" s="2"/>
    </row>
    <row r="135" spans="2:20" x14ac:dyDescent="0.25">
      <c r="B135" s="38">
        <v>120</v>
      </c>
      <c r="C135" s="28">
        <v>0.60416666666666663</v>
      </c>
      <c r="D135" s="38">
        <v>50</v>
      </c>
      <c r="E135" s="28">
        <v>0.6875</v>
      </c>
      <c r="F135" s="39">
        <v>100</v>
      </c>
      <c r="G135" s="28">
        <v>0.875</v>
      </c>
      <c r="H135" s="38">
        <v>60</v>
      </c>
      <c r="I135" s="28">
        <v>0.82291666666666663</v>
      </c>
      <c r="J135" s="38">
        <v>50</v>
      </c>
      <c r="K135" s="28">
        <v>0.66666666666666663</v>
      </c>
      <c r="L135" s="38">
        <v>120</v>
      </c>
      <c r="M135" s="28">
        <v>0.73958333333333337</v>
      </c>
      <c r="N135" s="47">
        <v>120</v>
      </c>
      <c r="O135" s="28">
        <v>0.5</v>
      </c>
      <c r="P135" s="66"/>
      <c r="Q135" s="81" t="s">
        <v>82</v>
      </c>
      <c r="R135" s="81"/>
      <c r="S135" s="2"/>
      <c r="T135" s="2"/>
    </row>
    <row r="136" spans="2:20" x14ac:dyDescent="0.25">
      <c r="B136" s="38">
        <v>80</v>
      </c>
      <c r="C136" s="28">
        <v>0.76041666666666663</v>
      </c>
      <c r="D136" s="29">
        <v>50</v>
      </c>
      <c r="E136" s="28">
        <v>0.83333333333333337</v>
      </c>
      <c r="F136" s="29">
        <v>60</v>
      </c>
      <c r="G136" s="28">
        <v>0.88541666666666663</v>
      </c>
      <c r="H136" s="38">
        <v>20</v>
      </c>
      <c r="I136" s="28">
        <v>0.86458333333333337</v>
      </c>
      <c r="J136" s="38">
        <v>70</v>
      </c>
      <c r="K136" s="28">
        <v>0.8125</v>
      </c>
      <c r="L136" s="38">
        <v>150</v>
      </c>
      <c r="M136" s="28">
        <v>0.89583333333333337</v>
      </c>
      <c r="N136" s="48">
        <v>60</v>
      </c>
      <c r="O136" s="28">
        <v>0.67708333333333337</v>
      </c>
      <c r="P136" s="66"/>
      <c r="Q136" s="82" t="s">
        <v>83</v>
      </c>
      <c r="R136" s="82"/>
      <c r="S136" s="2"/>
      <c r="T136" s="2"/>
    </row>
    <row r="137" spans="2:20" x14ac:dyDescent="0.25">
      <c r="B137" s="29">
        <v>120</v>
      </c>
      <c r="C137" s="28">
        <v>0.86458333333333337</v>
      </c>
      <c r="D137" s="29">
        <v>30</v>
      </c>
      <c r="E137" s="28">
        <v>0.90625</v>
      </c>
      <c r="F137" s="40"/>
      <c r="G137" s="28"/>
      <c r="H137" s="29">
        <v>150</v>
      </c>
      <c r="I137" s="28">
        <v>0.9375</v>
      </c>
      <c r="J137" s="29">
        <v>150</v>
      </c>
      <c r="K137" s="28">
        <v>0.95833333333333337</v>
      </c>
      <c r="L137" s="29">
        <v>90</v>
      </c>
      <c r="M137" s="28">
        <v>0.97916666666666663</v>
      </c>
      <c r="N137" s="48">
        <v>60</v>
      </c>
      <c r="O137" s="28">
        <v>0.80208333333333337</v>
      </c>
      <c r="P137" s="66"/>
      <c r="Q137" s="79" t="s">
        <v>84</v>
      </c>
      <c r="R137" s="79"/>
      <c r="S137" s="79"/>
      <c r="T137" s="79"/>
    </row>
    <row r="138" spans="2:20" x14ac:dyDescent="0.25">
      <c r="B138" s="29">
        <v>120</v>
      </c>
      <c r="C138" s="28">
        <v>0.96875</v>
      </c>
      <c r="D138" s="29">
        <v>60</v>
      </c>
      <c r="E138" s="28">
        <v>0.9375</v>
      </c>
      <c r="F138" s="40"/>
      <c r="G138" s="28"/>
      <c r="H138" s="40"/>
      <c r="I138" s="28"/>
      <c r="J138" s="40"/>
      <c r="K138" s="28"/>
      <c r="L138" s="40"/>
      <c r="M138" s="28"/>
      <c r="N138" s="47">
        <v>90</v>
      </c>
      <c r="O138" s="28">
        <v>0.90625</v>
      </c>
      <c r="P138" s="66"/>
      <c r="Q138" s="64"/>
      <c r="R138" s="64"/>
      <c r="S138" s="2"/>
      <c r="T138" s="2"/>
    </row>
    <row r="139" spans="2:20" x14ac:dyDescent="0.25">
      <c r="B139" s="41"/>
      <c r="C139" s="28"/>
      <c r="D139" s="29">
        <v>60</v>
      </c>
      <c r="E139" s="28">
        <v>0.98958333333333337</v>
      </c>
      <c r="F139" s="40"/>
      <c r="G139" s="28"/>
      <c r="H139" s="40"/>
      <c r="I139" s="28"/>
      <c r="J139" s="40"/>
      <c r="K139" s="28"/>
      <c r="L139" s="40"/>
      <c r="M139" s="28"/>
      <c r="N139" s="14"/>
      <c r="O139" s="28"/>
      <c r="P139" s="66"/>
      <c r="Q139" s="64"/>
      <c r="R139" s="64"/>
      <c r="S139" s="2"/>
      <c r="T139" s="2"/>
    </row>
    <row r="140" spans="2:20" x14ac:dyDescent="0.25">
      <c r="B140" s="41"/>
      <c r="C140" s="28"/>
      <c r="D140" s="40"/>
      <c r="E140" s="28"/>
      <c r="F140" s="40"/>
      <c r="G140" s="28"/>
      <c r="H140" s="40"/>
      <c r="I140" s="28"/>
      <c r="J140" s="40"/>
      <c r="K140" s="28"/>
      <c r="L140" s="40"/>
      <c r="M140" s="28"/>
      <c r="N140" s="14"/>
      <c r="O140" s="28"/>
      <c r="P140" s="66"/>
      <c r="Q140" s="64"/>
      <c r="R140" s="64"/>
      <c r="S140" s="2"/>
      <c r="T140" s="2"/>
    </row>
    <row r="141" spans="2:20" x14ac:dyDescent="0.25">
      <c r="B141" s="50" t="s">
        <v>85</v>
      </c>
      <c r="C141" s="46" t="s">
        <v>62</v>
      </c>
      <c r="D141" s="50" t="s">
        <v>85</v>
      </c>
      <c r="E141" s="46" t="s">
        <v>22</v>
      </c>
      <c r="F141" s="50" t="s">
        <v>85</v>
      </c>
      <c r="G141" s="28" t="s">
        <v>63</v>
      </c>
      <c r="H141" s="50" t="s">
        <v>85</v>
      </c>
      <c r="I141" s="28" t="s">
        <v>64</v>
      </c>
      <c r="J141" s="50" t="s">
        <v>85</v>
      </c>
      <c r="K141" s="32" t="s">
        <v>65</v>
      </c>
      <c r="L141" s="50" t="s">
        <v>85</v>
      </c>
      <c r="M141" s="28" t="s">
        <v>64</v>
      </c>
      <c r="N141" s="50" t="s">
        <v>85</v>
      </c>
      <c r="O141" s="28" t="s">
        <v>51</v>
      </c>
      <c r="P141" s="66"/>
      <c r="Q141" s="64"/>
      <c r="R141" s="64"/>
      <c r="S141" s="2"/>
      <c r="T141" s="2"/>
    </row>
    <row r="142" spans="2:20" x14ac:dyDescent="0.25">
      <c r="B142" s="40"/>
      <c r="C142" s="46"/>
      <c r="D142" s="40"/>
      <c r="E142" s="20"/>
      <c r="F142" s="50" t="s">
        <v>85</v>
      </c>
      <c r="G142" s="28" t="s">
        <v>18</v>
      </c>
      <c r="H142" s="50" t="s">
        <v>85</v>
      </c>
      <c r="I142" s="46" t="s">
        <v>18</v>
      </c>
      <c r="J142" s="50" t="s">
        <v>85</v>
      </c>
      <c r="K142" s="28" t="s">
        <v>5</v>
      </c>
      <c r="L142" s="50" t="s">
        <v>85</v>
      </c>
      <c r="M142" s="28" t="s">
        <v>49</v>
      </c>
      <c r="N142" s="40"/>
      <c r="O142" s="28"/>
      <c r="P142" s="66"/>
      <c r="Q142" s="64"/>
      <c r="R142" s="64"/>
      <c r="S142" s="2"/>
      <c r="T142" s="2"/>
    </row>
    <row r="143" spans="2:20" x14ac:dyDescent="0.25">
      <c r="B143" s="40"/>
      <c r="C143" s="46"/>
      <c r="D143" s="40"/>
      <c r="E143" s="20"/>
      <c r="F143" s="40"/>
      <c r="G143" s="28"/>
      <c r="H143" s="50" t="s">
        <v>85</v>
      </c>
      <c r="I143" s="46" t="s">
        <v>38</v>
      </c>
      <c r="J143" s="50" t="s">
        <v>85</v>
      </c>
      <c r="K143" s="28" t="s">
        <v>33</v>
      </c>
      <c r="L143" s="50" t="s">
        <v>85</v>
      </c>
      <c r="M143" s="28" t="s">
        <v>66</v>
      </c>
      <c r="N143" s="40"/>
      <c r="O143" s="20"/>
      <c r="P143" s="66"/>
      <c r="Q143" s="64"/>
      <c r="R143" s="64"/>
      <c r="S143" s="2"/>
      <c r="T143" s="2"/>
    </row>
    <row r="144" spans="2:20" x14ac:dyDescent="0.25">
      <c r="B144" s="40"/>
      <c r="C144" s="20"/>
      <c r="D144" s="40"/>
      <c r="E144" s="20"/>
      <c r="F144" s="40"/>
      <c r="G144" s="20"/>
      <c r="H144" s="40"/>
      <c r="I144" s="20"/>
      <c r="J144" s="40"/>
      <c r="K144" s="20"/>
      <c r="L144" s="40"/>
      <c r="M144" s="20"/>
      <c r="N144" s="40"/>
      <c r="O144" s="20"/>
      <c r="P144" s="66"/>
      <c r="Q144" s="64"/>
      <c r="R144" s="64"/>
      <c r="S144" s="2"/>
      <c r="T144" s="2"/>
    </row>
    <row r="145" spans="2:20" x14ac:dyDescent="0.25">
      <c r="B145" s="23">
        <v>45</v>
      </c>
      <c r="C145" s="12"/>
      <c r="D145" s="23">
        <v>90</v>
      </c>
      <c r="E145" s="12"/>
      <c r="F145" s="23">
        <v>90</v>
      </c>
      <c r="G145" s="12"/>
      <c r="H145" s="23">
        <v>135</v>
      </c>
      <c r="I145" s="12"/>
      <c r="J145" s="23">
        <v>135</v>
      </c>
      <c r="K145" s="12"/>
      <c r="L145" s="23">
        <v>135</v>
      </c>
      <c r="M145" s="12"/>
      <c r="N145" s="23">
        <v>45</v>
      </c>
      <c r="O145" s="12"/>
      <c r="P145" s="66"/>
      <c r="Q145" s="64"/>
      <c r="R145" s="64"/>
      <c r="S145" s="2"/>
      <c r="T145" s="2"/>
    </row>
    <row r="146" spans="2:20" x14ac:dyDescent="0.25">
      <c r="B146" s="19"/>
      <c r="C146" s="12"/>
      <c r="D146" s="19"/>
      <c r="E146" s="12"/>
      <c r="F146" s="19"/>
      <c r="G146" s="12"/>
      <c r="H146" s="19"/>
      <c r="I146" s="12"/>
      <c r="J146" s="19"/>
      <c r="K146" s="12"/>
      <c r="L146" s="19"/>
      <c r="M146" s="12"/>
      <c r="N146" s="19"/>
      <c r="O146" s="12"/>
      <c r="P146" s="66"/>
      <c r="Q146" s="64"/>
      <c r="R146" s="64"/>
      <c r="S146" s="2"/>
      <c r="T146" s="2"/>
    </row>
    <row r="147" spans="2:20" x14ac:dyDescent="0.25">
      <c r="B147" s="24" t="s">
        <v>13</v>
      </c>
      <c r="C147" s="12"/>
      <c r="D147" s="24" t="s">
        <v>13</v>
      </c>
      <c r="E147" s="12"/>
      <c r="F147" s="24" t="s">
        <v>13</v>
      </c>
      <c r="G147" s="12"/>
      <c r="H147" s="24" t="s">
        <v>13</v>
      </c>
      <c r="I147" s="12"/>
      <c r="J147" s="24" t="s">
        <v>13</v>
      </c>
      <c r="K147" s="12"/>
      <c r="L147" s="24" t="s">
        <v>13</v>
      </c>
      <c r="M147" s="12"/>
      <c r="N147" s="24" t="s">
        <v>13</v>
      </c>
      <c r="O147" s="12"/>
      <c r="P147" s="66" t="s">
        <v>67</v>
      </c>
      <c r="Q147" s="64"/>
      <c r="R147" s="64"/>
      <c r="S147" s="2"/>
      <c r="T147" s="2"/>
    </row>
    <row r="148" spans="2:20" ht="15.75" thickBot="1" x14ac:dyDescent="0.3">
      <c r="B148" s="25">
        <f>SUM(B131:B139)+B145</f>
        <v>965</v>
      </c>
      <c r="C148" s="26"/>
      <c r="D148" s="25">
        <f>SUM(D131:D140)+D145</f>
        <v>780</v>
      </c>
      <c r="E148" s="26"/>
      <c r="F148" s="25">
        <f>SUM(F131:F140)+F145</f>
        <v>580</v>
      </c>
      <c r="G148" s="26"/>
      <c r="H148" s="25">
        <f>SUM(H131:H138)+H145</f>
        <v>755</v>
      </c>
      <c r="I148" s="26"/>
      <c r="J148" s="25">
        <f>SUM(J131:J138)+J145</f>
        <v>745</v>
      </c>
      <c r="K148" s="26"/>
      <c r="L148" s="25">
        <f>SUM(L131:L140)+L145</f>
        <v>895</v>
      </c>
      <c r="M148" s="26"/>
      <c r="N148" s="25">
        <f>SUM(N131:N140)+N145</f>
        <v>825</v>
      </c>
      <c r="O148" s="26"/>
      <c r="P148" s="67">
        <f>SUM(B148:O148)/7</f>
        <v>792.14285714285711</v>
      </c>
      <c r="Q148" s="64"/>
      <c r="R148" s="64"/>
      <c r="S148" s="2"/>
      <c r="T148" s="2"/>
    </row>
    <row r="149" spans="2:20" ht="15.75" thickBot="1" x14ac:dyDescent="0.3"/>
    <row r="150" spans="2:20" x14ac:dyDescent="0.25">
      <c r="B150" s="73">
        <v>45916</v>
      </c>
      <c r="C150" s="74"/>
      <c r="D150" s="73">
        <v>45917</v>
      </c>
      <c r="E150" s="74"/>
      <c r="F150" s="73">
        <v>45918</v>
      </c>
      <c r="G150" s="74"/>
      <c r="H150" s="73">
        <v>45919</v>
      </c>
      <c r="I150" s="74"/>
      <c r="J150" s="73">
        <v>45920</v>
      </c>
      <c r="K150" s="74"/>
      <c r="L150" s="73">
        <v>45921</v>
      </c>
      <c r="M150" s="74"/>
      <c r="N150" s="73">
        <v>45922</v>
      </c>
      <c r="O150" s="74"/>
      <c r="P150" s="66"/>
      <c r="Q150" s="64"/>
      <c r="R150" s="64"/>
      <c r="S150" s="2"/>
      <c r="T150" s="2"/>
    </row>
    <row r="151" spans="2:20" x14ac:dyDescent="0.25">
      <c r="B151" s="3" t="s">
        <v>11</v>
      </c>
      <c r="C151" s="4" t="s">
        <v>12</v>
      </c>
      <c r="D151" s="3" t="s">
        <v>11</v>
      </c>
      <c r="E151" s="4" t="s">
        <v>12</v>
      </c>
      <c r="F151" s="3" t="s">
        <v>11</v>
      </c>
      <c r="G151" s="4" t="s">
        <v>12</v>
      </c>
      <c r="H151" s="3" t="s">
        <v>11</v>
      </c>
      <c r="I151" s="4" t="s">
        <v>12</v>
      </c>
      <c r="J151" s="3" t="s">
        <v>11</v>
      </c>
      <c r="K151" s="4" t="s">
        <v>12</v>
      </c>
      <c r="L151" s="3" t="s">
        <v>11</v>
      </c>
      <c r="M151" s="4" t="s">
        <v>12</v>
      </c>
      <c r="N151" s="3" t="s">
        <v>11</v>
      </c>
      <c r="O151" s="4" t="s">
        <v>12</v>
      </c>
      <c r="P151" s="66"/>
      <c r="Q151" s="64"/>
      <c r="R151" s="64"/>
      <c r="S151" s="2"/>
      <c r="T151" s="2"/>
    </row>
    <row r="152" spans="2:20" x14ac:dyDescent="0.25">
      <c r="B152" s="29">
        <v>150</v>
      </c>
      <c r="C152" s="28">
        <v>0.125</v>
      </c>
      <c r="D152" s="29">
        <v>150</v>
      </c>
      <c r="E152" s="28">
        <v>0.16666666666666666</v>
      </c>
      <c r="F152" s="29">
        <v>150</v>
      </c>
      <c r="G152" s="28">
        <v>0.13541666666666666</v>
      </c>
      <c r="H152" s="29">
        <v>130</v>
      </c>
      <c r="I152" s="28">
        <v>0.19791666666666666</v>
      </c>
      <c r="J152" s="29">
        <v>120</v>
      </c>
      <c r="K152" s="28">
        <v>1.0416666666666666E-2</v>
      </c>
      <c r="L152" s="38">
        <v>30</v>
      </c>
      <c r="M152" s="28">
        <v>2.0833333333333332E-2</v>
      </c>
      <c r="N152" s="38">
        <v>120</v>
      </c>
      <c r="O152" s="28">
        <v>0</v>
      </c>
      <c r="P152" s="66"/>
      <c r="Q152" s="64"/>
      <c r="R152" s="64"/>
      <c r="S152" s="2"/>
      <c r="T152" s="2"/>
    </row>
    <row r="153" spans="2:20" x14ac:dyDescent="0.25">
      <c r="B153" s="29">
        <v>90</v>
      </c>
      <c r="C153" s="28">
        <v>0.22916666666666666</v>
      </c>
      <c r="D153" s="29">
        <v>90</v>
      </c>
      <c r="E153" s="28">
        <v>0.23958333333333334</v>
      </c>
      <c r="F153" s="29">
        <v>150</v>
      </c>
      <c r="G153" s="28">
        <v>0.28125</v>
      </c>
      <c r="H153" s="29">
        <v>150</v>
      </c>
      <c r="I153" s="28">
        <v>0.30208333333333331</v>
      </c>
      <c r="J153" s="29">
        <v>120</v>
      </c>
      <c r="K153" s="28">
        <v>0.11458333333333333</v>
      </c>
      <c r="L153" s="29">
        <v>120</v>
      </c>
      <c r="M153" s="28">
        <v>8.3333333333333329E-2</v>
      </c>
      <c r="N153" s="29">
        <v>120</v>
      </c>
      <c r="O153" s="28">
        <v>0.17708333333333334</v>
      </c>
      <c r="P153" s="66"/>
      <c r="Q153" s="64"/>
      <c r="R153" s="64"/>
      <c r="S153" s="2"/>
      <c r="T153" s="2"/>
    </row>
    <row r="154" spans="2:20" x14ac:dyDescent="0.25">
      <c r="B154" s="29">
        <v>110</v>
      </c>
      <c r="C154" s="28">
        <v>0.34375</v>
      </c>
      <c r="D154" s="29">
        <v>120</v>
      </c>
      <c r="E154" s="28">
        <v>0.33333333333333331</v>
      </c>
      <c r="F154" s="29">
        <v>60</v>
      </c>
      <c r="G154" s="28">
        <v>0.34375</v>
      </c>
      <c r="H154" s="29">
        <v>90</v>
      </c>
      <c r="I154" s="28">
        <v>0.40625</v>
      </c>
      <c r="J154" s="29">
        <v>150</v>
      </c>
      <c r="K154" s="28">
        <v>0.21875</v>
      </c>
      <c r="L154" s="29">
        <v>120</v>
      </c>
      <c r="M154" s="28">
        <v>0.16666666666666666</v>
      </c>
      <c r="N154" s="29">
        <v>120</v>
      </c>
      <c r="O154" s="28">
        <v>0.23958333333333334</v>
      </c>
      <c r="P154" s="66"/>
      <c r="Q154" s="64"/>
      <c r="R154" s="64"/>
      <c r="S154" s="2"/>
      <c r="T154" s="2"/>
    </row>
    <row r="155" spans="2:20" x14ac:dyDescent="0.25">
      <c r="B155" s="38">
        <v>120</v>
      </c>
      <c r="C155" s="28">
        <v>0.48958333333333331</v>
      </c>
      <c r="D155" s="38">
        <v>120</v>
      </c>
      <c r="E155" s="28">
        <v>0.625</v>
      </c>
      <c r="F155" s="38">
        <v>120</v>
      </c>
      <c r="G155" s="28">
        <v>0.46875</v>
      </c>
      <c r="H155" s="38">
        <v>20</v>
      </c>
      <c r="I155" s="28">
        <v>0.55208333333333337</v>
      </c>
      <c r="J155" s="29">
        <v>120</v>
      </c>
      <c r="K155" s="28">
        <v>0.32291666666666669</v>
      </c>
      <c r="L155" s="29">
        <v>60</v>
      </c>
      <c r="M155" s="28">
        <v>0.29166666666666669</v>
      </c>
      <c r="N155" s="29">
        <v>100</v>
      </c>
      <c r="O155" s="28">
        <v>0.36458333333333331</v>
      </c>
      <c r="P155" s="66"/>
      <c r="Q155" s="80" t="s">
        <v>78</v>
      </c>
      <c r="R155" s="80"/>
      <c r="S155" s="2"/>
      <c r="T155" s="2"/>
    </row>
    <row r="156" spans="2:20" x14ac:dyDescent="0.25">
      <c r="B156" s="38">
        <v>120</v>
      </c>
      <c r="C156" s="28">
        <v>0.61458333333333337</v>
      </c>
      <c r="D156" s="38">
        <v>90</v>
      </c>
      <c r="E156" s="28">
        <v>0.75</v>
      </c>
      <c r="F156" s="38">
        <v>60</v>
      </c>
      <c r="G156" s="28">
        <v>0.64583333333333337</v>
      </c>
      <c r="H156" s="38">
        <v>80</v>
      </c>
      <c r="I156" s="28">
        <v>0.69791666666666663</v>
      </c>
      <c r="J156" s="38">
        <v>120</v>
      </c>
      <c r="K156" s="28">
        <v>0.44791666666666669</v>
      </c>
      <c r="L156" s="38">
        <v>120</v>
      </c>
      <c r="M156" s="28">
        <v>0.41666666666666669</v>
      </c>
      <c r="N156" s="38">
        <v>120</v>
      </c>
      <c r="O156" s="28">
        <v>0.48958333333333331</v>
      </c>
      <c r="P156" s="66"/>
      <c r="Q156" s="81" t="s">
        <v>82</v>
      </c>
      <c r="R156" s="81"/>
      <c r="S156" s="2"/>
      <c r="T156" s="2"/>
    </row>
    <row r="157" spans="2:20" x14ac:dyDescent="0.25">
      <c r="B157" s="38">
        <v>100</v>
      </c>
      <c r="C157" s="28">
        <v>0.73958333333333337</v>
      </c>
      <c r="D157" s="38">
        <v>90</v>
      </c>
      <c r="E157" s="28">
        <v>0.85416666666666663</v>
      </c>
      <c r="F157" s="38">
        <v>110</v>
      </c>
      <c r="G157" s="28">
        <v>0.77083333333333337</v>
      </c>
      <c r="H157" s="38">
        <v>150</v>
      </c>
      <c r="I157" s="28">
        <v>0.84375</v>
      </c>
      <c r="J157" s="38">
        <v>100</v>
      </c>
      <c r="K157" s="28">
        <v>0.5625</v>
      </c>
      <c r="L157" s="38">
        <v>110</v>
      </c>
      <c r="M157" s="28">
        <v>0.52083333333333337</v>
      </c>
      <c r="N157" s="38">
        <v>120</v>
      </c>
      <c r="O157" s="28">
        <v>0.66666666666666663</v>
      </c>
      <c r="P157" s="66"/>
      <c r="Q157" s="82" t="s">
        <v>83</v>
      </c>
      <c r="R157" s="82"/>
      <c r="S157" s="2"/>
      <c r="T157" s="2"/>
    </row>
    <row r="158" spans="2:20" x14ac:dyDescent="0.25">
      <c r="B158" s="38">
        <v>90</v>
      </c>
      <c r="C158" s="28">
        <v>0.83333333333333337</v>
      </c>
      <c r="D158" s="29">
        <v>110</v>
      </c>
      <c r="E158" s="28">
        <v>0.95833333333333337</v>
      </c>
      <c r="F158" s="38">
        <v>120</v>
      </c>
      <c r="G158" s="28">
        <v>0.82291666666666663</v>
      </c>
      <c r="H158" s="38">
        <v>30</v>
      </c>
      <c r="I158" s="28">
        <v>0.95833333333333337</v>
      </c>
      <c r="J158" s="38">
        <v>100</v>
      </c>
      <c r="K158" s="28">
        <v>0.71875</v>
      </c>
      <c r="L158" s="38">
        <v>30</v>
      </c>
      <c r="M158" s="28">
        <v>0.82291666666666663</v>
      </c>
      <c r="N158" s="38">
        <v>120</v>
      </c>
      <c r="O158" s="28">
        <v>0.80208333333333337</v>
      </c>
      <c r="P158" s="66"/>
      <c r="Q158" s="79" t="s">
        <v>84</v>
      </c>
      <c r="R158" s="79"/>
      <c r="S158" s="79"/>
      <c r="T158" s="79"/>
    </row>
    <row r="159" spans="2:20" x14ac:dyDescent="0.25">
      <c r="B159" s="39">
        <v>100</v>
      </c>
      <c r="C159" s="28">
        <v>0.97916666666666663</v>
      </c>
      <c r="D159" s="14"/>
      <c r="E159" s="28"/>
      <c r="F159" s="39">
        <v>90</v>
      </c>
      <c r="G159" s="28">
        <v>0.98958333333333337</v>
      </c>
      <c r="H159" s="14"/>
      <c r="I159" s="28"/>
      <c r="J159" s="38">
        <v>120</v>
      </c>
      <c r="K159" s="28">
        <v>0.90625</v>
      </c>
      <c r="L159" s="38">
        <v>120</v>
      </c>
      <c r="M159" s="28">
        <v>0.90625</v>
      </c>
      <c r="N159" s="38">
        <v>120</v>
      </c>
      <c r="O159" s="28">
        <v>0.90625</v>
      </c>
      <c r="P159" s="66"/>
      <c r="Q159" s="64"/>
      <c r="R159" s="64"/>
      <c r="S159" s="2"/>
      <c r="T159" s="2"/>
    </row>
    <row r="160" spans="2:20" x14ac:dyDescent="0.25">
      <c r="B160" s="14"/>
      <c r="C160" s="28"/>
      <c r="D160" s="14"/>
      <c r="E160" s="28"/>
      <c r="F160" s="14"/>
      <c r="G160" s="28"/>
      <c r="H160" s="14"/>
      <c r="I160" s="28"/>
      <c r="J160" s="14"/>
      <c r="K160" s="28"/>
      <c r="L160" s="14"/>
      <c r="M160" s="28"/>
      <c r="N160" s="39">
        <v>130</v>
      </c>
      <c r="O160" s="28">
        <v>0.97916666666666663</v>
      </c>
      <c r="P160" s="66"/>
      <c r="Q160" s="64"/>
      <c r="R160" s="64"/>
      <c r="S160" s="2"/>
      <c r="T160" s="2"/>
    </row>
    <row r="161" spans="2:20" x14ac:dyDescent="0.25">
      <c r="B161" s="14"/>
      <c r="C161" s="28"/>
      <c r="D161" s="14"/>
      <c r="E161" s="28"/>
      <c r="F161" s="14"/>
      <c r="G161" s="28"/>
      <c r="H161" s="14"/>
      <c r="I161" s="28"/>
      <c r="J161" s="14"/>
      <c r="K161" s="28"/>
      <c r="L161" s="14"/>
      <c r="M161" s="28"/>
      <c r="N161" s="14"/>
      <c r="O161" s="28"/>
      <c r="P161" s="66"/>
      <c r="Q161" s="64"/>
      <c r="R161" s="64"/>
      <c r="S161" s="2"/>
      <c r="T161" s="2"/>
    </row>
    <row r="162" spans="2:20" x14ac:dyDescent="0.25">
      <c r="B162" s="50" t="s">
        <v>85</v>
      </c>
      <c r="C162" s="52" t="s">
        <v>38</v>
      </c>
      <c r="D162" s="50" t="s">
        <v>85</v>
      </c>
      <c r="E162" s="46" t="s">
        <v>41</v>
      </c>
      <c r="F162" s="50" t="s">
        <v>85</v>
      </c>
      <c r="G162" s="28" t="s">
        <v>19</v>
      </c>
      <c r="H162" s="50" t="s">
        <v>85</v>
      </c>
      <c r="I162" s="28" t="s">
        <v>18</v>
      </c>
      <c r="J162" s="50" t="s">
        <v>85</v>
      </c>
      <c r="K162" s="32" t="s">
        <v>37</v>
      </c>
      <c r="L162" s="50" t="s">
        <v>85</v>
      </c>
      <c r="M162" s="28" t="s">
        <v>19</v>
      </c>
      <c r="N162" s="50" t="s">
        <v>85</v>
      </c>
      <c r="O162" s="28" t="s">
        <v>70</v>
      </c>
      <c r="P162" s="66"/>
      <c r="Q162" s="64"/>
      <c r="R162" s="64"/>
      <c r="S162" s="2"/>
      <c r="T162" s="2"/>
    </row>
    <row r="163" spans="2:20" x14ac:dyDescent="0.25">
      <c r="B163" s="40"/>
      <c r="C163" s="46"/>
      <c r="D163" s="50" t="s">
        <v>85</v>
      </c>
      <c r="E163" s="20" t="s">
        <v>68</v>
      </c>
      <c r="F163" s="50" t="s">
        <v>85</v>
      </c>
      <c r="G163" s="28" t="s">
        <v>38</v>
      </c>
      <c r="H163" s="50" t="s">
        <v>85</v>
      </c>
      <c r="I163" s="46" t="s">
        <v>25</v>
      </c>
      <c r="J163" s="50" t="s">
        <v>85</v>
      </c>
      <c r="K163" s="28" t="s">
        <v>69</v>
      </c>
      <c r="L163" s="40"/>
      <c r="M163" s="28"/>
      <c r="N163" s="40"/>
      <c r="O163" s="28"/>
      <c r="P163" s="66"/>
      <c r="Q163" s="64"/>
      <c r="R163" s="64"/>
      <c r="S163" s="2"/>
      <c r="T163" s="2"/>
    </row>
    <row r="164" spans="2:20" x14ac:dyDescent="0.25">
      <c r="B164" s="40"/>
      <c r="C164" s="46"/>
      <c r="D164" s="40"/>
      <c r="E164" s="20"/>
      <c r="F164" s="40"/>
      <c r="G164" s="28"/>
      <c r="H164" s="40"/>
      <c r="I164" s="46"/>
      <c r="J164" s="40"/>
      <c r="K164" s="28"/>
      <c r="L164" s="40"/>
      <c r="M164" s="28"/>
      <c r="N164" s="40"/>
      <c r="O164" s="20"/>
      <c r="P164" s="66"/>
      <c r="Q164" s="64"/>
      <c r="R164" s="64"/>
      <c r="S164" s="2"/>
      <c r="T164" s="2"/>
    </row>
    <row r="165" spans="2:20" x14ac:dyDescent="0.25">
      <c r="B165" s="40"/>
      <c r="C165" s="20"/>
      <c r="D165" s="40"/>
      <c r="E165" s="20"/>
      <c r="F165" s="40"/>
      <c r="G165" s="20"/>
      <c r="H165" s="40"/>
      <c r="I165" s="20"/>
      <c r="J165" s="40"/>
      <c r="K165" s="20"/>
      <c r="L165" s="40"/>
      <c r="M165" s="20"/>
      <c r="N165" s="40"/>
      <c r="O165" s="20"/>
      <c r="P165" s="66"/>
      <c r="Q165" s="64"/>
      <c r="R165" s="64"/>
      <c r="S165" s="2"/>
      <c r="T165" s="2"/>
    </row>
    <row r="166" spans="2:20" x14ac:dyDescent="0.25">
      <c r="B166" s="23">
        <v>45</v>
      </c>
      <c r="C166" s="12"/>
      <c r="D166" s="23">
        <v>90</v>
      </c>
      <c r="E166" s="12"/>
      <c r="F166" s="23">
        <v>90</v>
      </c>
      <c r="G166" s="12"/>
      <c r="H166" s="23">
        <v>90</v>
      </c>
      <c r="I166" s="12"/>
      <c r="J166" s="23">
        <v>135</v>
      </c>
      <c r="K166" s="12"/>
      <c r="L166" s="23">
        <v>45</v>
      </c>
      <c r="M166" s="12"/>
      <c r="N166" s="23">
        <v>45</v>
      </c>
      <c r="O166" s="12"/>
      <c r="P166" s="66"/>
      <c r="Q166" s="64"/>
      <c r="R166" s="64"/>
      <c r="S166" s="2"/>
      <c r="T166" s="2"/>
    </row>
    <row r="167" spans="2:20" x14ac:dyDescent="0.25">
      <c r="B167" s="19"/>
      <c r="C167" s="12"/>
      <c r="D167" s="19"/>
      <c r="E167" s="12"/>
      <c r="F167" s="19"/>
      <c r="G167" s="12"/>
      <c r="H167" s="19"/>
      <c r="I167" s="12"/>
      <c r="J167" s="19"/>
      <c r="K167" s="12"/>
      <c r="L167" s="19"/>
      <c r="M167" s="12"/>
      <c r="N167" s="19"/>
      <c r="O167" s="12"/>
      <c r="P167" s="66"/>
      <c r="Q167" s="64"/>
      <c r="R167" s="64"/>
      <c r="S167" s="2"/>
      <c r="T167" s="2"/>
    </row>
    <row r="168" spans="2:20" x14ac:dyDescent="0.25">
      <c r="B168" s="24" t="s">
        <v>13</v>
      </c>
      <c r="C168" s="12"/>
      <c r="D168" s="24" t="s">
        <v>13</v>
      </c>
      <c r="E168" s="12"/>
      <c r="F168" s="24" t="s">
        <v>13</v>
      </c>
      <c r="G168" s="12"/>
      <c r="H168" s="24" t="s">
        <v>13</v>
      </c>
      <c r="I168" s="12"/>
      <c r="J168" s="24" t="s">
        <v>13</v>
      </c>
      <c r="K168" s="12"/>
      <c r="L168" s="24" t="s">
        <v>13</v>
      </c>
      <c r="M168" s="12"/>
      <c r="N168" s="24" t="s">
        <v>13</v>
      </c>
      <c r="O168" s="12"/>
      <c r="P168" s="66" t="s">
        <v>67</v>
      </c>
      <c r="Q168" s="64"/>
      <c r="R168" s="64"/>
      <c r="S168" s="2"/>
      <c r="T168" s="2"/>
    </row>
    <row r="169" spans="2:20" ht="15.75" thickBot="1" x14ac:dyDescent="0.3">
      <c r="B169" s="25">
        <f>SUM(B152:B160)+B166</f>
        <v>925</v>
      </c>
      <c r="C169" s="26"/>
      <c r="D169" s="25">
        <f>SUM(D152:D161)+D166</f>
        <v>860</v>
      </c>
      <c r="E169" s="26"/>
      <c r="F169" s="25">
        <f>SUM(F152:F161)+F166</f>
        <v>950</v>
      </c>
      <c r="G169" s="26"/>
      <c r="H169" s="25">
        <f>SUM(H152:H159)+H166</f>
        <v>740</v>
      </c>
      <c r="I169" s="26"/>
      <c r="J169" s="25">
        <f>SUM(J152:J159)+J166</f>
        <v>1085</v>
      </c>
      <c r="K169" s="26"/>
      <c r="L169" s="25">
        <f>SUM(L152:L161)+L166</f>
        <v>755</v>
      </c>
      <c r="M169" s="26"/>
      <c r="N169" s="25">
        <f>SUM(N152:N161)+N166</f>
        <v>1115</v>
      </c>
      <c r="O169" s="26"/>
      <c r="P169" s="67">
        <f>SUM(B169:O169)/7</f>
        <v>918.57142857142856</v>
      </c>
      <c r="Q169" s="64"/>
      <c r="R169" s="64"/>
      <c r="S169" s="2"/>
      <c r="T169" s="2"/>
    </row>
    <row r="170" spans="2:20" ht="15.75" thickBot="1" x14ac:dyDescent="0.3"/>
    <row r="171" spans="2:20" x14ac:dyDescent="0.25">
      <c r="B171" s="73">
        <v>45923</v>
      </c>
      <c r="C171" s="74"/>
      <c r="D171" s="73">
        <v>45924</v>
      </c>
      <c r="E171" s="74"/>
      <c r="F171" s="73">
        <v>45925</v>
      </c>
      <c r="G171" s="74"/>
      <c r="H171" s="73">
        <v>45926</v>
      </c>
      <c r="I171" s="74"/>
      <c r="J171" s="73">
        <v>45927</v>
      </c>
      <c r="K171" s="74"/>
      <c r="L171" s="73">
        <v>45928</v>
      </c>
      <c r="M171" s="74"/>
      <c r="N171" s="73">
        <v>45929</v>
      </c>
      <c r="O171" s="74"/>
      <c r="P171" s="66"/>
      <c r="Q171" s="64"/>
      <c r="R171" s="64"/>
      <c r="S171" s="2"/>
      <c r="T171" s="2"/>
    </row>
    <row r="172" spans="2:20" x14ac:dyDescent="0.25">
      <c r="B172" s="3" t="s">
        <v>11</v>
      </c>
      <c r="C172" s="4" t="s">
        <v>12</v>
      </c>
      <c r="D172" s="3" t="s">
        <v>11</v>
      </c>
      <c r="E172" s="4" t="s">
        <v>12</v>
      </c>
      <c r="F172" s="3" t="s">
        <v>11</v>
      </c>
      <c r="G172" s="4" t="s">
        <v>12</v>
      </c>
      <c r="H172" s="3" t="s">
        <v>11</v>
      </c>
      <c r="I172" s="4" t="s">
        <v>12</v>
      </c>
      <c r="J172" s="3" t="s">
        <v>11</v>
      </c>
      <c r="K172" s="4" t="s">
        <v>12</v>
      </c>
      <c r="L172" s="3" t="s">
        <v>11</v>
      </c>
      <c r="M172" s="4" t="s">
        <v>12</v>
      </c>
      <c r="N172" s="3" t="s">
        <v>11</v>
      </c>
      <c r="O172" s="4" t="s">
        <v>12</v>
      </c>
      <c r="P172" s="66"/>
      <c r="Q172" s="64"/>
      <c r="R172" s="64"/>
      <c r="S172" s="2"/>
      <c r="T172" s="2"/>
    </row>
    <row r="173" spans="2:20" x14ac:dyDescent="0.25">
      <c r="B173" s="29">
        <v>150</v>
      </c>
      <c r="C173" s="28">
        <v>0.16666666666666666</v>
      </c>
      <c r="D173" s="29">
        <v>120</v>
      </c>
      <c r="E173" s="28">
        <v>0.125</v>
      </c>
      <c r="F173" s="29">
        <v>100</v>
      </c>
      <c r="G173" s="28">
        <v>0.13541666666666666</v>
      </c>
      <c r="H173" s="29">
        <v>120</v>
      </c>
      <c r="I173" s="28">
        <v>0.13541666666666666</v>
      </c>
      <c r="J173" s="39">
        <v>60</v>
      </c>
      <c r="K173" s="28">
        <v>0</v>
      </c>
      <c r="L173" s="38">
        <v>120</v>
      </c>
      <c r="M173" s="28">
        <v>0.17708333333333334</v>
      </c>
      <c r="N173" s="39">
        <v>30</v>
      </c>
      <c r="O173" s="28">
        <v>0</v>
      </c>
      <c r="P173" s="66"/>
      <c r="Q173" s="64"/>
      <c r="R173" s="64"/>
      <c r="S173" s="2"/>
      <c r="T173" s="2"/>
    </row>
    <row r="174" spans="2:20" x14ac:dyDescent="0.25">
      <c r="B174" s="29">
        <v>60</v>
      </c>
      <c r="C174" s="28">
        <v>0.26041666666666669</v>
      </c>
      <c r="D174" s="29">
        <v>60</v>
      </c>
      <c r="E174" s="28">
        <v>0.20833333333333334</v>
      </c>
      <c r="F174" s="29">
        <v>60</v>
      </c>
      <c r="G174" s="28">
        <v>0.20833333333333334</v>
      </c>
      <c r="H174" s="29">
        <v>120</v>
      </c>
      <c r="I174" s="28">
        <v>0.22916666666666666</v>
      </c>
      <c r="J174" s="29">
        <v>90</v>
      </c>
      <c r="K174" s="28">
        <v>1.0416666666666666E-2</v>
      </c>
      <c r="L174" s="29">
        <v>90</v>
      </c>
      <c r="M174" s="28">
        <v>0.26041666666666669</v>
      </c>
      <c r="N174" s="29">
        <v>90</v>
      </c>
      <c r="O174" s="28">
        <v>1.0416666666666666E-2</v>
      </c>
      <c r="P174" s="66"/>
      <c r="Q174" s="64"/>
      <c r="R174" s="64"/>
      <c r="S174" s="2"/>
      <c r="T174" s="2"/>
    </row>
    <row r="175" spans="2:20" x14ac:dyDescent="0.25">
      <c r="B175" s="29">
        <v>120</v>
      </c>
      <c r="C175" s="28">
        <v>0.35416666666666669</v>
      </c>
      <c r="D175" s="29">
        <v>60</v>
      </c>
      <c r="E175" s="28">
        <v>0.28125</v>
      </c>
      <c r="F175" s="29">
        <v>120</v>
      </c>
      <c r="G175" s="28">
        <v>0.30208333333333331</v>
      </c>
      <c r="H175" s="29">
        <v>80</v>
      </c>
      <c r="I175" s="28">
        <v>0.32291666666666669</v>
      </c>
      <c r="J175" s="29">
        <v>120</v>
      </c>
      <c r="K175" s="28">
        <v>0.15625</v>
      </c>
      <c r="L175" s="29">
        <v>90</v>
      </c>
      <c r="M175" s="28">
        <v>0.33333333333333331</v>
      </c>
      <c r="N175" s="29">
        <v>120</v>
      </c>
      <c r="O175" s="28">
        <v>0.13541666666666666</v>
      </c>
      <c r="P175" s="66"/>
      <c r="Q175" s="64"/>
      <c r="R175" s="64"/>
      <c r="S175" s="2"/>
      <c r="T175" s="2"/>
    </row>
    <row r="176" spans="2:20" x14ac:dyDescent="0.25">
      <c r="B176" s="38">
        <v>60</v>
      </c>
      <c r="C176" s="28">
        <v>0.4375</v>
      </c>
      <c r="D176" s="38">
        <v>100</v>
      </c>
      <c r="E176" s="28">
        <v>0.34375</v>
      </c>
      <c r="F176" s="38">
        <v>30</v>
      </c>
      <c r="G176" s="28">
        <v>0.375</v>
      </c>
      <c r="H176" s="38">
        <v>80</v>
      </c>
      <c r="I176" s="28">
        <v>0.38541666666666669</v>
      </c>
      <c r="J176" s="29">
        <v>60</v>
      </c>
      <c r="K176" s="28">
        <v>0.23958333333333334</v>
      </c>
      <c r="L176" s="29">
        <v>110</v>
      </c>
      <c r="M176" s="28">
        <v>0.41666666666666669</v>
      </c>
      <c r="N176" s="29">
        <v>70</v>
      </c>
      <c r="O176" s="28">
        <v>0.20833333333333334</v>
      </c>
      <c r="P176" s="66"/>
      <c r="Q176" s="80" t="s">
        <v>78</v>
      </c>
      <c r="R176" s="80"/>
      <c r="S176" s="2"/>
      <c r="T176" s="2"/>
    </row>
    <row r="177" spans="2:20" x14ac:dyDescent="0.25">
      <c r="B177" s="38">
        <v>120</v>
      </c>
      <c r="C177" s="28">
        <v>0.55208333333333337</v>
      </c>
      <c r="D177" s="38">
        <v>120</v>
      </c>
      <c r="E177" s="28">
        <v>0.4375</v>
      </c>
      <c r="F177" s="38">
        <v>100</v>
      </c>
      <c r="G177" s="28">
        <v>0.44791666666666669</v>
      </c>
      <c r="H177" s="38">
        <v>120</v>
      </c>
      <c r="I177" s="28">
        <v>0.54166666666666663</v>
      </c>
      <c r="J177" s="29">
        <v>60</v>
      </c>
      <c r="K177" s="28">
        <v>0.32291666666666669</v>
      </c>
      <c r="L177" s="38">
        <v>30</v>
      </c>
      <c r="M177" s="28">
        <v>0.55208333333333337</v>
      </c>
      <c r="N177" s="29">
        <v>110</v>
      </c>
      <c r="O177" s="28">
        <v>0.30208333333333331</v>
      </c>
      <c r="P177" s="66"/>
      <c r="Q177" s="81" t="s">
        <v>82</v>
      </c>
      <c r="R177" s="81"/>
      <c r="S177" s="2"/>
      <c r="T177" s="2"/>
    </row>
    <row r="178" spans="2:20" x14ac:dyDescent="0.25">
      <c r="B178" s="38">
        <v>120</v>
      </c>
      <c r="C178" s="28">
        <v>0.6875</v>
      </c>
      <c r="D178" s="38">
        <v>120</v>
      </c>
      <c r="E178" s="28">
        <v>0.66666666666666663</v>
      </c>
      <c r="F178" s="38">
        <v>120</v>
      </c>
      <c r="G178" s="28">
        <v>0.70833333333333337</v>
      </c>
      <c r="H178" s="38">
        <v>120</v>
      </c>
      <c r="I178" s="28">
        <v>0.75</v>
      </c>
      <c r="J178" s="38">
        <v>100</v>
      </c>
      <c r="K178" s="28">
        <v>0.38541666666666669</v>
      </c>
      <c r="L178" s="38">
        <v>70</v>
      </c>
      <c r="M178" s="28">
        <v>0.65625</v>
      </c>
      <c r="N178" s="29">
        <v>60</v>
      </c>
      <c r="O178" s="28">
        <v>0.375</v>
      </c>
      <c r="P178" s="66"/>
      <c r="Q178" s="82" t="s">
        <v>83</v>
      </c>
      <c r="R178" s="82"/>
      <c r="S178" s="2"/>
      <c r="T178" s="2"/>
    </row>
    <row r="179" spans="2:20" x14ac:dyDescent="0.25">
      <c r="B179" s="38">
        <v>30</v>
      </c>
      <c r="C179" s="28">
        <v>0.79166666666666663</v>
      </c>
      <c r="D179" s="38">
        <v>60</v>
      </c>
      <c r="E179" s="28">
        <v>0.84375</v>
      </c>
      <c r="F179" s="38">
        <v>120</v>
      </c>
      <c r="G179" s="28">
        <v>0.76041666666666663</v>
      </c>
      <c r="H179" s="33">
        <v>120</v>
      </c>
      <c r="I179" s="28">
        <v>0.88541666666666663</v>
      </c>
      <c r="J179" s="38">
        <v>120</v>
      </c>
      <c r="K179" s="28">
        <v>0.47916666666666669</v>
      </c>
      <c r="L179" s="38">
        <v>120</v>
      </c>
      <c r="M179" s="28">
        <v>0.73958333333333337</v>
      </c>
      <c r="N179" s="38">
        <v>120</v>
      </c>
      <c r="O179" s="28">
        <v>0.48958333333333331</v>
      </c>
      <c r="P179" s="66"/>
      <c r="Q179" s="79" t="s">
        <v>84</v>
      </c>
      <c r="R179" s="79"/>
      <c r="S179" s="79"/>
      <c r="T179" s="79"/>
    </row>
    <row r="180" spans="2:20" x14ac:dyDescent="0.25">
      <c r="B180" s="38">
        <v>120</v>
      </c>
      <c r="C180" s="28">
        <v>0.9375</v>
      </c>
      <c r="D180" s="38">
        <v>150</v>
      </c>
      <c r="E180" s="28">
        <v>0.94791666666666663</v>
      </c>
      <c r="F180" s="38">
        <v>60</v>
      </c>
      <c r="G180" s="28">
        <v>0.88541666666666663</v>
      </c>
      <c r="H180" s="14"/>
      <c r="I180" s="28"/>
      <c r="J180" s="38">
        <v>120</v>
      </c>
      <c r="K180" s="28">
        <v>0.70833333333333337</v>
      </c>
      <c r="L180" s="38">
        <v>120</v>
      </c>
      <c r="M180" s="28">
        <v>0.91666666666666663</v>
      </c>
      <c r="N180" s="38">
        <v>60</v>
      </c>
      <c r="O180" s="28">
        <v>0.70833333333333337</v>
      </c>
      <c r="P180" s="66"/>
      <c r="Q180" s="64"/>
      <c r="R180" s="64"/>
      <c r="S180" s="2"/>
      <c r="T180" s="2"/>
    </row>
    <row r="181" spans="2:20" x14ac:dyDescent="0.25">
      <c r="B181" s="14"/>
      <c r="C181" s="28"/>
      <c r="D181" s="14"/>
      <c r="E181" s="28"/>
      <c r="F181" s="38">
        <v>100</v>
      </c>
      <c r="G181" s="28">
        <v>0.96875</v>
      </c>
      <c r="H181" s="14"/>
      <c r="I181" s="28"/>
      <c r="J181" s="38">
        <v>60</v>
      </c>
      <c r="K181" s="28">
        <v>0.88541666666666663</v>
      </c>
      <c r="L181" s="14"/>
      <c r="M181" s="28"/>
      <c r="N181" s="39">
        <v>30</v>
      </c>
      <c r="O181" s="28">
        <v>0.79166666666666663</v>
      </c>
      <c r="P181" s="66"/>
      <c r="Q181" s="64"/>
      <c r="R181" s="64"/>
      <c r="S181" s="2"/>
      <c r="T181" s="2"/>
    </row>
    <row r="182" spans="2:20" x14ac:dyDescent="0.25">
      <c r="B182" s="14"/>
      <c r="C182" s="28"/>
      <c r="D182" s="14"/>
      <c r="E182" s="28"/>
      <c r="F182" s="14"/>
      <c r="G182" s="28"/>
      <c r="H182" s="14"/>
      <c r="I182" s="28"/>
      <c r="J182" s="45">
        <v>150</v>
      </c>
      <c r="K182" s="28">
        <v>0.98958333333333337</v>
      </c>
      <c r="L182" s="14"/>
      <c r="M182" s="28"/>
      <c r="N182" s="38">
        <v>150</v>
      </c>
      <c r="O182" s="28">
        <v>0.9375</v>
      </c>
      <c r="P182" s="66"/>
      <c r="Q182" s="64"/>
      <c r="R182" s="64"/>
      <c r="S182" s="2"/>
      <c r="T182" s="2"/>
    </row>
    <row r="183" spans="2:20" x14ac:dyDescent="0.25">
      <c r="B183" s="14"/>
      <c r="C183" s="44"/>
      <c r="D183" s="14"/>
      <c r="E183" s="34"/>
      <c r="F183" s="14"/>
      <c r="G183" s="28"/>
      <c r="H183" s="50" t="s">
        <v>85</v>
      </c>
      <c r="I183" s="28" t="s">
        <v>68</v>
      </c>
      <c r="J183" s="40"/>
      <c r="K183" s="32"/>
      <c r="L183" s="50" t="s">
        <v>85</v>
      </c>
      <c r="M183" s="28" t="s">
        <v>40</v>
      </c>
      <c r="N183" s="50" t="s">
        <v>85</v>
      </c>
      <c r="O183" s="28" t="s">
        <v>39</v>
      </c>
      <c r="P183" s="66"/>
      <c r="Q183" s="64"/>
      <c r="R183" s="64"/>
      <c r="S183" s="2"/>
      <c r="T183" s="2"/>
    </row>
    <row r="184" spans="2:20" x14ac:dyDescent="0.25">
      <c r="B184" s="14"/>
      <c r="C184" s="22"/>
      <c r="D184" s="14"/>
      <c r="E184" s="35"/>
      <c r="F184" s="14"/>
      <c r="G184" s="28"/>
      <c r="H184" s="40"/>
      <c r="I184" s="46"/>
      <c r="J184" s="40"/>
      <c r="K184" s="28"/>
      <c r="L184" s="40"/>
      <c r="M184" s="28"/>
      <c r="N184" s="50" t="s">
        <v>85</v>
      </c>
      <c r="O184" s="28" t="s">
        <v>71</v>
      </c>
      <c r="P184" s="66"/>
      <c r="Q184" s="64"/>
      <c r="R184" s="64"/>
      <c r="S184" s="2"/>
      <c r="T184" s="2"/>
    </row>
    <row r="185" spans="2:20" x14ac:dyDescent="0.25">
      <c r="B185" s="14"/>
      <c r="C185" s="22"/>
      <c r="D185" s="14"/>
      <c r="E185" s="35"/>
      <c r="F185" s="14"/>
      <c r="G185" s="28"/>
      <c r="H185" s="40"/>
      <c r="I185" s="46"/>
      <c r="J185" s="40"/>
      <c r="K185" s="28"/>
      <c r="L185" s="40"/>
      <c r="M185" s="28"/>
      <c r="N185" s="50" t="s">
        <v>85</v>
      </c>
      <c r="O185" s="20" t="s">
        <v>38</v>
      </c>
      <c r="P185" s="66"/>
      <c r="Q185" s="64"/>
      <c r="R185" s="64"/>
      <c r="S185" s="2"/>
      <c r="T185" s="2"/>
    </row>
    <row r="186" spans="2:20" x14ac:dyDescent="0.25">
      <c r="B186" s="14"/>
      <c r="C186" s="20"/>
      <c r="D186" s="14"/>
      <c r="E186" s="20"/>
      <c r="F186" s="14"/>
      <c r="G186" s="20"/>
      <c r="H186" s="40"/>
      <c r="I186" s="20"/>
      <c r="J186" s="40"/>
      <c r="K186" s="20"/>
      <c r="L186" s="40"/>
      <c r="M186" s="20"/>
      <c r="N186" s="40"/>
      <c r="O186" s="20"/>
      <c r="P186" s="66"/>
      <c r="Q186" s="64"/>
      <c r="R186" s="64"/>
      <c r="S186" s="2"/>
      <c r="T186" s="2"/>
    </row>
    <row r="187" spans="2:20" x14ac:dyDescent="0.25">
      <c r="B187" s="14"/>
      <c r="C187" s="12"/>
      <c r="D187" s="14"/>
      <c r="E187" s="12"/>
      <c r="F187" s="14"/>
      <c r="G187" s="12"/>
      <c r="H187" s="23">
        <v>45</v>
      </c>
      <c r="I187" s="12"/>
      <c r="J187" s="40"/>
      <c r="K187" s="12"/>
      <c r="L187" s="23">
        <v>45</v>
      </c>
      <c r="M187" s="12"/>
      <c r="N187" s="23">
        <v>135</v>
      </c>
      <c r="O187" s="12"/>
      <c r="P187" s="66"/>
      <c r="Q187" s="64"/>
      <c r="R187" s="64"/>
      <c r="S187" s="2"/>
      <c r="T187" s="2"/>
    </row>
    <row r="188" spans="2:20" x14ac:dyDescent="0.25">
      <c r="B188" s="19"/>
      <c r="C188" s="12"/>
      <c r="D188" s="19"/>
      <c r="E188" s="12"/>
      <c r="F188" s="19"/>
      <c r="G188" s="12"/>
      <c r="H188" s="19"/>
      <c r="I188" s="12"/>
      <c r="J188" s="19"/>
      <c r="K188" s="12"/>
      <c r="L188" s="19"/>
      <c r="M188" s="12"/>
      <c r="N188" s="19"/>
      <c r="O188" s="12"/>
      <c r="P188" s="66"/>
      <c r="Q188" s="64"/>
      <c r="R188" s="64"/>
      <c r="S188" s="2"/>
      <c r="T188" s="2"/>
    </row>
    <row r="189" spans="2:20" x14ac:dyDescent="0.25">
      <c r="B189" s="24" t="s">
        <v>13</v>
      </c>
      <c r="C189" s="12"/>
      <c r="D189" s="24" t="s">
        <v>13</v>
      </c>
      <c r="E189" s="12"/>
      <c r="F189" s="24" t="s">
        <v>13</v>
      </c>
      <c r="G189" s="12"/>
      <c r="H189" s="24" t="s">
        <v>13</v>
      </c>
      <c r="I189" s="12"/>
      <c r="J189" s="24" t="s">
        <v>13</v>
      </c>
      <c r="K189" s="12"/>
      <c r="L189" s="24" t="s">
        <v>13</v>
      </c>
      <c r="M189" s="12"/>
      <c r="N189" s="24" t="s">
        <v>13</v>
      </c>
      <c r="O189" s="12"/>
      <c r="P189" s="66" t="s">
        <v>67</v>
      </c>
      <c r="Q189" s="64"/>
      <c r="R189" s="64"/>
      <c r="S189" s="2"/>
      <c r="T189" s="2"/>
    </row>
    <row r="190" spans="2:20" ht="15.75" thickBot="1" x14ac:dyDescent="0.3">
      <c r="B190" s="25">
        <f>SUM(B173:B181)+B187</f>
        <v>780</v>
      </c>
      <c r="C190" s="26"/>
      <c r="D190" s="25">
        <f>SUM(D173:D182)+D187</f>
        <v>790</v>
      </c>
      <c r="E190" s="26"/>
      <c r="F190" s="25">
        <f>SUM(F173:F182)+F187</f>
        <v>810</v>
      </c>
      <c r="G190" s="26"/>
      <c r="H190" s="25">
        <f>SUM(H173:H180)+H187</f>
        <v>805</v>
      </c>
      <c r="I190" s="26"/>
      <c r="J190" s="25">
        <f>SUM(J173:J180)+J187</f>
        <v>730</v>
      </c>
      <c r="K190" s="26"/>
      <c r="L190" s="25">
        <f>SUM(L173:L182)+L187</f>
        <v>795</v>
      </c>
      <c r="M190" s="26"/>
      <c r="N190" s="25">
        <f>SUM(N173:N182)+N187</f>
        <v>975</v>
      </c>
      <c r="O190" s="26"/>
      <c r="P190" s="67">
        <f>SUM(B190:O190)/7</f>
        <v>812.14285714285711</v>
      </c>
      <c r="Q190" s="64"/>
      <c r="R190" s="64"/>
      <c r="S190" s="2"/>
      <c r="T190" s="2"/>
    </row>
    <row r="191" spans="2:20" ht="15.75" thickBot="1" x14ac:dyDescent="0.3"/>
    <row r="192" spans="2:20" x14ac:dyDescent="0.25">
      <c r="B192" s="73">
        <v>45930</v>
      </c>
      <c r="C192" s="74"/>
      <c r="D192" s="73">
        <v>45931</v>
      </c>
      <c r="E192" s="74"/>
      <c r="F192" s="73">
        <v>45932</v>
      </c>
      <c r="G192" s="74"/>
      <c r="H192" s="73">
        <v>45933</v>
      </c>
      <c r="I192" s="74"/>
      <c r="J192" s="73">
        <v>45934</v>
      </c>
      <c r="K192" s="74"/>
      <c r="L192" s="73">
        <v>45935</v>
      </c>
      <c r="M192" s="74"/>
      <c r="N192" s="73">
        <v>45936</v>
      </c>
      <c r="O192" s="74"/>
      <c r="P192" s="66"/>
      <c r="Q192" s="64"/>
      <c r="R192" s="64"/>
      <c r="S192" s="2"/>
      <c r="T192" s="2"/>
    </row>
    <row r="193" spans="2:20" x14ac:dyDescent="0.25">
      <c r="B193" s="3" t="s">
        <v>11</v>
      </c>
      <c r="C193" s="4" t="s">
        <v>12</v>
      </c>
      <c r="D193" s="3" t="s">
        <v>11</v>
      </c>
      <c r="E193" s="4" t="s">
        <v>12</v>
      </c>
      <c r="F193" s="3" t="s">
        <v>11</v>
      </c>
      <c r="G193" s="4" t="s">
        <v>12</v>
      </c>
      <c r="H193" s="3" t="s">
        <v>11</v>
      </c>
      <c r="I193" s="4" t="s">
        <v>12</v>
      </c>
      <c r="J193" s="3" t="s">
        <v>11</v>
      </c>
      <c r="K193" s="4" t="s">
        <v>12</v>
      </c>
      <c r="L193" s="3" t="s">
        <v>11</v>
      </c>
      <c r="M193" s="4" t="s">
        <v>12</v>
      </c>
      <c r="N193" s="3" t="s">
        <v>11</v>
      </c>
      <c r="O193" s="4" t="s">
        <v>12</v>
      </c>
      <c r="P193" s="66"/>
      <c r="Q193" s="64"/>
      <c r="R193" s="64"/>
      <c r="S193" s="2"/>
      <c r="T193" s="2"/>
    </row>
    <row r="194" spans="2:20" x14ac:dyDescent="0.25">
      <c r="B194" s="47">
        <v>150</v>
      </c>
      <c r="C194" s="28">
        <v>0.125</v>
      </c>
      <c r="D194" s="29">
        <v>150</v>
      </c>
      <c r="E194" s="28">
        <v>2.0833333333333332E-2</v>
      </c>
      <c r="F194" s="29">
        <v>150</v>
      </c>
      <c r="G194" s="28">
        <v>0.15625</v>
      </c>
      <c r="H194" s="29">
        <v>90</v>
      </c>
      <c r="I194" s="28">
        <v>0.16666666666666666</v>
      </c>
      <c r="J194" s="47">
        <v>120</v>
      </c>
      <c r="K194" s="28">
        <v>5.2083333333333336E-2</v>
      </c>
      <c r="L194" s="47">
        <v>150</v>
      </c>
      <c r="M194" s="28">
        <v>9.375E-2</v>
      </c>
      <c r="N194" s="47">
        <v>80</v>
      </c>
      <c r="O194" s="28">
        <v>7.2916666666666671E-2</v>
      </c>
      <c r="P194" s="66"/>
      <c r="Q194" s="64"/>
      <c r="R194" s="64"/>
      <c r="S194" s="2"/>
      <c r="T194" s="2"/>
    </row>
    <row r="195" spans="2:20" x14ac:dyDescent="0.25">
      <c r="B195" s="47">
        <v>60</v>
      </c>
      <c r="C195" s="28">
        <v>0.20833333333333334</v>
      </c>
      <c r="D195" s="29">
        <v>120</v>
      </c>
      <c r="E195" s="28">
        <v>0.19791666666666666</v>
      </c>
      <c r="F195" s="29">
        <v>60</v>
      </c>
      <c r="G195" s="28">
        <v>0.23958333333333334</v>
      </c>
      <c r="H195" s="29">
        <v>150</v>
      </c>
      <c r="I195" s="28">
        <v>0.33333333333333331</v>
      </c>
      <c r="J195" s="47">
        <v>120</v>
      </c>
      <c r="K195" s="28">
        <v>0.15625</v>
      </c>
      <c r="L195" s="47">
        <v>30</v>
      </c>
      <c r="M195" s="28">
        <v>0.20833333333333334</v>
      </c>
      <c r="N195" s="47">
        <v>150</v>
      </c>
      <c r="O195" s="28">
        <v>0.29166666666666669</v>
      </c>
      <c r="P195" s="66"/>
      <c r="Q195" s="64"/>
      <c r="R195" s="64"/>
      <c r="S195" s="2"/>
      <c r="T195" s="2"/>
    </row>
    <row r="196" spans="2:20" x14ac:dyDescent="0.25">
      <c r="B196" s="47">
        <v>70</v>
      </c>
      <c r="C196" s="28">
        <v>0.27083333333333331</v>
      </c>
      <c r="D196" s="29">
        <v>120</v>
      </c>
      <c r="E196" s="28">
        <v>0.29166666666666669</v>
      </c>
      <c r="F196" s="29">
        <v>120</v>
      </c>
      <c r="G196" s="28">
        <v>0.4375</v>
      </c>
      <c r="H196" s="29">
        <v>100</v>
      </c>
      <c r="I196" s="28">
        <v>0.42708333333333331</v>
      </c>
      <c r="J196" s="47">
        <v>120</v>
      </c>
      <c r="K196" s="28">
        <v>0.28125</v>
      </c>
      <c r="L196" s="47">
        <v>60</v>
      </c>
      <c r="M196" s="28">
        <v>0.26041666666666669</v>
      </c>
      <c r="N196" s="48">
        <v>50</v>
      </c>
      <c r="O196" s="28">
        <v>0.38541666666666669</v>
      </c>
      <c r="P196" s="66"/>
      <c r="Q196" s="64"/>
      <c r="R196" s="64"/>
      <c r="S196" s="2"/>
      <c r="T196" s="2"/>
    </row>
    <row r="197" spans="2:20" x14ac:dyDescent="0.25">
      <c r="B197" s="48">
        <v>50</v>
      </c>
      <c r="C197" s="28">
        <v>0.35416666666666669</v>
      </c>
      <c r="D197" s="29">
        <v>70</v>
      </c>
      <c r="E197" s="28">
        <v>0.38541666666666669</v>
      </c>
      <c r="F197" s="38">
        <v>120</v>
      </c>
      <c r="G197" s="28">
        <v>0.53125</v>
      </c>
      <c r="H197" s="38">
        <v>60</v>
      </c>
      <c r="I197" s="28">
        <v>0.54166666666666663</v>
      </c>
      <c r="J197" s="48">
        <v>60</v>
      </c>
      <c r="K197" s="28">
        <v>0.38541666666666669</v>
      </c>
      <c r="L197" s="48">
        <v>120</v>
      </c>
      <c r="M197" s="28">
        <v>0.39583333333333331</v>
      </c>
      <c r="N197" s="48">
        <v>80</v>
      </c>
      <c r="O197" s="28">
        <v>0.46875</v>
      </c>
      <c r="P197" s="66"/>
      <c r="Q197" s="80" t="s">
        <v>78</v>
      </c>
      <c r="R197" s="80"/>
      <c r="S197" s="2"/>
      <c r="T197" s="2"/>
    </row>
    <row r="198" spans="2:20" x14ac:dyDescent="0.25">
      <c r="B198" s="48">
        <v>110</v>
      </c>
      <c r="C198" s="28">
        <v>0.4375</v>
      </c>
      <c r="D198" s="38">
        <v>110</v>
      </c>
      <c r="E198" s="28">
        <v>0.48958333333333331</v>
      </c>
      <c r="F198" s="38">
        <v>30</v>
      </c>
      <c r="G198" s="28">
        <v>0.72916666666666663</v>
      </c>
      <c r="H198" s="38">
        <v>60</v>
      </c>
      <c r="I198" s="28">
        <v>0.66666666666666663</v>
      </c>
      <c r="J198" s="48">
        <v>90</v>
      </c>
      <c r="K198" s="28">
        <v>0.48958333333333331</v>
      </c>
      <c r="L198" s="48">
        <v>90</v>
      </c>
      <c r="M198" s="28">
        <v>0.45833333333333331</v>
      </c>
      <c r="N198" s="48">
        <v>60</v>
      </c>
      <c r="O198" s="28">
        <v>0.63541666666666663</v>
      </c>
      <c r="P198" s="66"/>
      <c r="Q198" s="81" t="s">
        <v>82</v>
      </c>
      <c r="R198" s="81"/>
      <c r="S198" s="2"/>
      <c r="T198" s="2"/>
    </row>
    <row r="199" spans="2:20" x14ac:dyDescent="0.25">
      <c r="B199" s="48">
        <v>60</v>
      </c>
      <c r="C199" s="28">
        <v>0.625</v>
      </c>
      <c r="D199" s="38">
        <v>120</v>
      </c>
      <c r="E199" s="28">
        <v>0.66666666666666663</v>
      </c>
      <c r="F199" s="38">
        <v>60</v>
      </c>
      <c r="G199" s="28">
        <v>0.8125</v>
      </c>
      <c r="H199" s="38">
        <v>120</v>
      </c>
      <c r="I199" s="28">
        <v>0.78125</v>
      </c>
      <c r="J199" s="48">
        <v>90</v>
      </c>
      <c r="K199" s="28">
        <v>0.60416666666666663</v>
      </c>
      <c r="L199" s="48">
        <v>30</v>
      </c>
      <c r="M199" s="28">
        <v>0.57291666666666663</v>
      </c>
      <c r="N199" s="47">
        <v>60</v>
      </c>
      <c r="O199" s="28">
        <v>0.84375</v>
      </c>
      <c r="P199" s="66"/>
      <c r="Q199" s="82" t="s">
        <v>83</v>
      </c>
      <c r="R199" s="82"/>
      <c r="S199" s="2"/>
      <c r="T199" s="2"/>
    </row>
    <row r="200" spans="2:20" x14ac:dyDescent="0.25">
      <c r="B200" s="48">
        <v>30</v>
      </c>
      <c r="C200" s="28">
        <v>0.77083333333333337</v>
      </c>
      <c r="D200" s="38">
        <v>60</v>
      </c>
      <c r="E200" s="28">
        <v>0.76041666666666663</v>
      </c>
      <c r="F200" s="29">
        <v>150</v>
      </c>
      <c r="G200" s="28">
        <v>0.96875</v>
      </c>
      <c r="H200" s="38">
        <v>120</v>
      </c>
      <c r="I200" s="28">
        <v>0.85416666666666663</v>
      </c>
      <c r="J200" s="48">
        <v>120</v>
      </c>
      <c r="K200" s="28">
        <v>0.76041666666666663</v>
      </c>
      <c r="L200" s="48">
        <v>120</v>
      </c>
      <c r="M200" s="28">
        <v>0.69791666666666663</v>
      </c>
      <c r="N200" s="47">
        <v>150</v>
      </c>
      <c r="O200" s="28">
        <v>0.94791666666666663</v>
      </c>
      <c r="P200" s="66"/>
      <c r="Q200" s="79" t="s">
        <v>84</v>
      </c>
      <c r="R200" s="79"/>
      <c r="S200" s="79"/>
      <c r="T200" s="79"/>
    </row>
    <row r="201" spans="2:20" x14ac:dyDescent="0.25">
      <c r="B201" s="47">
        <v>60</v>
      </c>
      <c r="C201" s="28">
        <v>0.85416666666666663</v>
      </c>
      <c r="D201" s="38">
        <v>30</v>
      </c>
      <c r="E201" s="28">
        <v>0.88541666666666663</v>
      </c>
      <c r="F201" s="14"/>
      <c r="G201" s="28"/>
      <c r="H201" s="39">
        <v>60</v>
      </c>
      <c r="I201" s="28">
        <v>0.95833333333333337</v>
      </c>
      <c r="J201" s="47">
        <v>150</v>
      </c>
      <c r="K201" s="28">
        <v>0.44791666666666669</v>
      </c>
      <c r="L201" s="48">
        <v>60</v>
      </c>
      <c r="M201" s="28">
        <v>0.8125</v>
      </c>
      <c r="N201" s="14"/>
      <c r="O201" s="28"/>
      <c r="P201" s="66"/>
      <c r="Q201" s="64"/>
      <c r="R201" s="64"/>
      <c r="S201" s="2"/>
      <c r="T201" s="2"/>
    </row>
    <row r="202" spans="2:20" x14ac:dyDescent="0.25">
      <c r="B202" s="47">
        <v>150</v>
      </c>
      <c r="C202" s="28">
        <v>0.97916666666666663</v>
      </c>
      <c r="D202" s="29">
        <v>130</v>
      </c>
      <c r="E202" s="28">
        <v>0.94791666666666663</v>
      </c>
      <c r="F202" s="14"/>
      <c r="G202" s="28"/>
      <c r="H202" s="14"/>
      <c r="I202" s="28"/>
      <c r="J202" s="14"/>
      <c r="K202" s="28"/>
      <c r="L202" s="47">
        <v>150</v>
      </c>
      <c r="M202" s="28">
        <v>0.92708333333333337</v>
      </c>
      <c r="N202" s="14"/>
      <c r="O202" s="28"/>
      <c r="P202" s="66"/>
      <c r="Q202" s="64"/>
      <c r="R202" s="64"/>
      <c r="S202" s="2"/>
      <c r="T202" s="2"/>
    </row>
    <row r="203" spans="2:20" x14ac:dyDescent="0.25">
      <c r="B203" s="14"/>
      <c r="C203" s="28"/>
      <c r="D203" s="14"/>
      <c r="E203" s="28"/>
      <c r="F203" s="14"/>
      <c r="G203" s="28"/>
      <c r="H203" s="14"/>
      <c r="I203" s="28"/>
      <c r="J203" s="14"/>
      <c r="K203" s="28"/>
      <c r="L203" s="14"/>
      <c r="M203" s="28"/>
      <c r="N203" s="14"/>
      <c r="O203" s="28"/>
      <c r="P203" s="66"/>
      <c r="Q203" s="64"/>
      <c r="R203" s="64"/>
      <c r="S203" s="2"/>
      <c r="T203" s="2"/>
    </row>
    <row r="204" spans="2:20" x14ac:dyDescent="0.25">
      <c r="B204" s="50" t="s">
        <v>85</v>
      </c>
      <c r="C204" s="52" t="s">
        <v>72</v>
      </c>
      <c r="D204" s="50" t="s">
        <v>85</v>
      </c>
      <c r="E204" s="46" t="s">
        <v>37</v>
      </c>
      <c r="F204" s="50" t="s">
        <v>85</v>
      </c>
      <c r="G204" s="28" t="s">
        <v>17</v>
      </c>
      <c r="H204" s="40"/>
      <c r="I204" s="28"/>
      <c r="J204" s="40"/>
      <c r="K204" s="32"/>
      <c r="L204" s="40"/>
      <c r="M204" s="28"/>
      <c r="N204" s="50" t="s">
        <v>85</v>
      </c>
      <c r="O204" s="28" t="s">
        <v>31</v>
      </c>
      <c r="P204" s="66"/>
      <c r="Q204" s="64"/>
      <c r="R204" s="64"/>
      <c r="S204" s="2"/>
      <c r="T204" s="2"/>
    </row>
    <row r="205" spans="2:20" x14ac:dyDescent="0.25">
      <c r="B205" s="50" t="s">
        <v>85</v>
      </c>
      <c r="C205" s="46" t="s">
        <v>1</v>
      </c>
      <c r="D205" s="50" t="s">
        <v>85</v>
      </c>
      <c r="E205" s="20" t="s">
        <v>68</v>
      </c>
      <c r="F205" s="40"/>
      <c r="G205" s="28"/>
      <c r="H205" s="40"/>
      <c r="I205" s="46"/>
      <c r="J205" s="40"/>
      <c r="K205" s="28"/>
      <c r="L205" s="40"/>
      <c r="M205" s="28"/>
      <c r="N205" s="40"/>
      <c r="O205" s="28"/>
      <c r="P205" s="66"/>
      <c r="Q205" s="64"/>
      <c r="R205" s="64"/>
      <c r="S205" s="2"/>
      <c r="T205" s="2"/>
    </row>
    <row r="206" spans="2:20" x14ac:dyDescent="0.25">
      <c r="B206" s="40"/>
      <c r="C206" s="46"/>
      <c r="D206" s="40"/>
      <c r="E206" s="20"/>
      <c r="F206" s="40"/>
      <c r="G206" s="28"/>
      <c r="H206" s="40"/>
      <c r="I206" s="46"/>
      <c r="J206" s="40"/>
      <c r="K206" s="28"/>
      <c r="L206" s="40"/>
      <c r="M206" s="28"/>
      <c r="N206" s="40"/>
      <c r="O206" s="20"/>
      <c r="P206" s="66"/>
      <c r="Q206" s="64"/>
      <c r="R206" s="64"/>
      <c r="S206" s="2"/>
      <c r="T206" s="2"/>
    </row>
    <row r="207" spans="2:20" x14ac:dyDescent="0.25">
      <c r="B207" s="40"/>
      <c r="C207" s="20"/>
      <c r="D207" s="40"/>
      <c r="E207" s="20"/>
      <c r="F207" s="40"/>
      <c r="G207" s="20"/>
      <c r="H207" s="40"/>
      <c r="I207" s="20"/>
      <c r="J207" s="40"/>
      <c r="K207" s="20"/>
      <c r="L207" s="40"/>
      <c r="M207" s="20"/>
      <c r="N207" s="40"/>
      <c r="O207" s="20"/>
      <c r="P207" s="66"/>
      <c r="Q207" s="64"/>
      <c r="R207" s="64"/>
      <c r="S207" s="2"/>
      <c r="T207" s="2"/>
    </row>
    <row r="208" spans="2:20" x14ac:dyDescent="0.25">
      <c r="B208" s="23">
        <v>90</v>
      </c>
      <c r="C208" s="12"/>
      <c r="D208" s="23">
        <v>90</v>
      </c>
      <c r="E208" s="12"/>
      <c r="F208" s="23">
        <v>45</v>
      </c>
      <c r="G208" s="12"/>
      <c r="H208" s="40"/>
      <c r="I208" s="12"/>
      <c r="J208" s="40"/>
      <c r="K208" s="12"/>
      <c r="L208" s="40"/>
      <c r="M208" s="12"/>
      <c r="N208" s="23">
        <v>45</v>
      </c>
      <c r="O208" s="12"/>
      <c r="P208" s="66"/>
      <c r="Q208" s="64"/>
      <c r="R208" s="64"/>
      <c r="S208" s="2"/>
      <c r="T208" s="2"/>
    </row>
    <row r="209" spans="2:20" x14ac:dyDescent="0.25">
      <c r="B209" s="19"/>
      <c r="C209" s="12"/>
      <c r="D209" s="19"/>
      <c r="E209" s="12"/>
      <c r="F209" s="19"/>
      <c r="G209" s="12"/>
      <c r="H209" s="19"/>
      <c r="I209" s="12"/>
      <c r="J209" s="19"/>
      <c r="K209" s="12"/>
      <c r="L209" s="19"/>
      <c r="M209" s="12"/>
      <c r="N209" s="19"/>
      <c r="O209" s="12"/>
      <c r="P209" s="66"/>
      <c r="Q209" s="64"/>
      <c r="R209" s="64"/>
      <c r="S209" s="2"/>
      <c r="T209" s="2"/>
    </row>
    <row r="210" spans="2:20" x14ac:dyDescent="0.25">
      <c r="B210" s="24" t="s">
        <v>13</v>
      </c>
      <c r="C210" s="12"/>
      <c r="D210" s="24" t="s">
        <v>13</v>
      </c>
      <c r="E210" s="12"/>
      <c r="F210" s="24" t="s">
        <v>13</v>
      </c>
      <c r="G210" s="12"/>
      <c r="H210" s="24" t="s">
        <v>13</v>
      </c>
      <c r="I210" s="12"/>
      <c r="J210" s="24" t="s">
        <v>13</v>
      </c>
      <c r="K210" s="12"/>
      <c r="L210" s="24" t="s">
        <v>13</v>
      </c>
      <c r="M210" s="12"/>
      <c r="N210" s="24" t="s">
        <v>13</v>
      </c>
      <c r="O210" s="12"/>
      <c r="P210" s="66" t="s">
        <v>67</v>
      </c>
      <c r="Q210" s="64"/>
      <c r="R210" s="64"/>
      <c r="S210" s="2"/>
      <c r="T210" s="2"/>
    </row>
    <row r="211" spans="2:20" ht="15.75" thickBot="1" x14ac:dyDescent="0.3">
      <c r="B211" s="25">
        <f>SUM(B194:B202)+B208</f>
        <v>830</v>
      </c>
      <c r="C211" s="26"/>
      <c r="D211" s="25">
        <f>SUM(D194:D203)+D208</f>
        <v>1000</v>
      </c>
      <c r="E211" s="26"/>
      <c r="F211" s="25">
        <f>SUM(F194:F203)+F208</f>
        <v>735</v>
      </c>
      <c r="G211" s="26"/>
      <c r="H211" s="25">
        <f>SUM(H194:H201)+H208</f>
        <v>760</v>
      </c>
      <c r="I211" s="26"/>
      <c r="J211" s="25">
        <f>SUM(J194:J201)+J208</f>
        <v>870</v>
      </c>
      <c r="K211" s="26"/>
      <c r="L211" s="25">
        <f>SUM(L194:L203)+L208</f>
        <v>810</v>
      </c>
      <c r="M211" s="26"/>
      <c r="N211" s="25">
        <f>SUM(N194:N203)+N208</f>
        <v>675</v>
      </c>
      <c r="O211" s="26"/>
      <c r="P211" s="67">
        <f>SUM(B211:O211)/7</f>
        <v>811.42857142857144</v>
      </c>
      <c r="Q211" s="64"/>
      <c r="R211" s="64"/>
      <c r="S211" s="2"/>
      <c r="T211" s="2"/>
    </row>
    <row r="212" spans="2:20" ht="15.75" thickBot="1" x14ac:dyDescent="0.3"/>
    <row r="213" spans="2:20" x14ac:dyDescent="0.25">
      <c r="B213" s="73">
        <v>45937</v>
      </c>
      <c r="C213" s="74"/>
      <c r="D213" s="73">
        <v>45938</v>
      </c>
      <c r="E213" s="74"/>
      <c r="F213" s="73">
        <v>45939</v>
      </c>
      <c r="G213" s="74"/>
      <c r="H213" s="73">
        <v>45940</v>
      </c>
      <c r="I213" s="74"/>
      <c r="J213" s="73">
        <v>45941</v>
      </c>
      <c r="K213" s="74"/>
      <c r="L213" s="73">
        <v>45942</v>
      </c>
      <c r="M213" s="74"/>
      <c r="N213" s="73">
        <v>45943</v>
      </c>
      <c r="O213" s="74"/>
      <c r="P213" s="66"/>
      <c r="Q213" s="64"/>
      <c r="R213" s="64"/>
      <c r="S213" s="2"/>
      <c r="T213" s="2"/>
    </row>
    <row r="214" spans="2:20" x14ac:dyDescent="0.25">
      <c r="B214" s="3" t="s">
        <v>11</v>
      </c>
      <c r="C214" s="4" t="s">
        <v>12</v>
      </c>
      <c r="D214" s="3" t="s">
        <v>11</v>
      </c>
      <c r="E214" s="4" t="s">
        <v>12</v>
      </c>
      <c r="F214" s="3" t="s">
        <v>11</v>
      </c>
      <c r="G214" s="4" t="s">
        <v>12</v>
      </c>
      <c r="H214" s="3" t="s">
        <v>11</v>
      </c>
      <c r="I214" s="4" t="s">
        <v>12</v>
      </c>
      <c r="J214" s="3" t="s">
        <v>11</v>
      </c>
      <c r="K214" s="4" t="s">
        <v>12</v>
      </c>
      <c r="L214" s="3" t="s">
        <v>11</v>
      </c>
      <c r="M214" s="4" t="s">
        <v>12</v>
      </c>
      <c r="N214" s="3" t="s">
        <v>11</v>
      </c>
      <c r="O214" s="4" t="s">
        <v>12</v>
      </c>
      <c r="P214" s="66"/>
      <c r="Q214" s="64"/>
      <c r="R214" s="64"/>
      <c r="S214" s="2"/>
      <c r="T214" s="2"/>
    </row>
    <row r="215" spans="2:20" x14ac:dyDescent="0.25">
      <c r="B215" s="47">
        <v>130</v>
      </c>
      <c r="C215" s="28">
        <v>0.10416666666666667</v>
      </c>
      <c r="D215" s="47">
        <v>50</v>
      </c>
      <c r="E215" s="28">
        <v>7.2916666666666671E-2</v>
      </c>
      <c r="F215" s="29">
        <v>80</v>
      </c>
      <c r="G215" s="28">
        <v>7.2916666666666671E-2</v>
      </c>
      <c r="H215" s="49">
        <v>70</v>
      </c>
      <c r="I215" s="28">
        <v>5.2083333333333336E-2</v>
      </c>
      <c r="J215" s="29">
        <v>150</v>
      </c>
      <c r="K215" s="28">
        <v>5.2083333333333336E-2</v>
      </c>
      <c r="L215" s="29">
        <v>60</v>
      </c>
      <c r="M215" s="28">
        <v>7.2916666666666671E-2</v>
      </c>
      <c r="N215" s="29">
        <v>150</v>
      </c>
      <c r="O215" s="28">
        <v>8.3333333333333329E-2</v>
      </c>
      <c r="P215" s="66"/>
      <c r="Q215" s="64"/>
      <c r="R215" s="64"/>
      <c r="S215" s="2"/>
      <c r="T215" s="2"/>
    </row>
    <row r="216" spans="2:20" x14ac:dyDescent="0.25">
      <c r="B216" s="47">
        <v>120</v>
      </c>
      <c r="C216" s="28">
        <v>0.32291666666666669</v>
      </c>
      <c r="D216" s="47">
        <v>80</v>
      </c>
      <c r="E216" s="28">
        <v>0.15625</v>
      </c>
      <c r="F216" s="29">
        <v>150</v>
      </c>
      <c r="G216" s="28">
        <v>0.16666666666666666</v>
      </c>
      <c r="H216" s="29">
        <v>140</v>
      </c>
      <c r="I216" s="28">
        <v>0.14583333333333334</v>
      </c>
      <c r="J216" s="29">
        <v>120</v>
      </c>
      <c r="K216" s="28">
        <v>0.1875</v>
      </c>
      <c r="L216" s="29">
        <v>60</v>
      </c>
      <c r="M216" s="28">
        <v>0.20833333333333334</v>
      </c>
      <c r="N216" s="29">
        <v>100</v>
      </c>
      <c r="O216" s="28">
        <v>0.19791666666666666</v>
      </c>
      <c r="P216" s="66"/>
      <c r="Q216" s="64"/>
      <c r="R216" s="64"/>
      <c r="S216" s="2"/>
      <c r="T216" s="2"/>
    </row>
    <row r="217" spans="2:20" x14ac:dyDescent="0.25">
      <c r="B217" s="48">
        <v>120</v>
      </c>
      <c r="C217" s="28">
        <v>0.38541666666666669</v>
      </c>
      <c r="D217" s="47">
        <v>150</v>
      </c>
      <c r="E217" s="28">
        <v>0.28125</v>
      </c>
      <c r="F217" s="29">
        <v>60</v>
      </c>
      <c r="G217" s="28">
        <v>0.25</v>
      </c>
      <c r="H217" s="29">
        <v>120</v>
      </c>
      <c r="I217" s="28">
        <v>0.26041666666666669</v>
      </c>
      <c r="J217" s="29">
        <v>120</v>
      </c>
      <c r="K217" s="28">
        <v>0.29166666666666669</v>
      </c>
      <c r="L217" s="29">
        <v>120</v>
      </c>
      <c r="M217" s="28">
        <v>0.3125</v>
      </c>
      <c r="N217" s="29">
        <v>120</v>
      </c>
      <c r="O217" s="28">
        <v>0.30208333333333331</v>
      </c>
      <c r="P217" s="66"/>
      <c r="Q217" s="64"/>
      <c r="R217" s="64"/>
      <c r="S217" s="2"/>
      <c r="T217" s="2"/>
    </row>
    <row r="218" spans="2:20" x14ac:dyDescent="0.25">
      <c r="B218" s="48">
        <v>90</v>
      </c>
      <c r="C218" s="28">
        <v>0.66666666666666663</v>
      </c>
      <c r="D218" s="48">
        <v>120</v>
      </c>
      <c r="E218" s="28">
        <v>0.38541666666666669</v>
      </c>
      <c r="F218" s="29">
        <v>100</v>
      </c>
      <c r="G218" s="28">
        <v>0.33333333333333331</v>
      </c>
      <c r="H218" s="38">
        <v>120</v>
      </c>
      <c r="I218" s="28">
        <v>0.375</v>
      </c>
      <c r="J218" s="38">
        <v>150</v>
      </c>
      <c r="K218" s="28">
        <v>0.55208333333333337</v>
      </c>
      <c r="L218" s="29">
        <v>110</v>
      </c>
      <c r="M218" s="28">
        <v>0.39583333333333331</v>
      </c>
      <c r="N218" s="38">
        <v>150</v>
      </c>
      <c r="O218" s="28">
        <v>0.55208333333333337</v>
      </c>
      <c r="P218" s="66"/>
      <c r="Q218" s="80" t="s">
        <v>78</v>
      </c>
      <c r="R218" s="80"/>
      <c r="S218" s="2"/>
      <c r="T218" s="2"/>
    </row>
    <row r="219" spans="2:20" x14ac:dyDescent="0.25">
      <c r="B219" s="47">
        <v>150</v>
      </c>
      <c r="C219" s="28">
        <v>0.95833333333333337</v>
      </c>
      <c r="D219" s="48">
        <v>120</v>
      </c>
      <c r="E219" s="28">
        <v>0.48958333333333331</v>
      </c>
      <c r="F219" s="38">
        <v>120</v>
      </c>
      <c r="G219" s="28">
        <v>0.4375</v>
      </c>
      <c r="H219" s="38">
        <v>120</v>
      </c>
      <c r="I219" s="28">
        <v>0.5</v>
      </c>
      <c r="J219" s="38">
        <v>90</v>
      </c>
      <c r="K219" s="28">
        <v>0.70833333333333337</v>
      </c>
      <c r="L219" s="29">
        <v>120</v>
      </c>
      <c r="M219" s="28">
        <v>0.51041666666666663</v>
      </c>
      <c r="N219" s="38">
        <v>150</v>
      </c>
      <c r="O219" s="28">
        <v>0.72916666666666663</v>
      </c>
      <c r="P219" s="66"/>
      <c r="Q219" s="81" t="s">
        <v>82</v>
      </c>
      <c r="R219" s="81"/>
      <c r="S219" s="2"/>
      <c r="T219" s="2"/>
    </row>
    <row r="220" spans="2:20" x14ac:dyDescent="0.25">
      <c r="B220" s="14"/>
      <c r="C220" s="28"/>
      <c r="D220" s="48">
        <v>120</v>
      </c>
      <c r="E220" s="28">
        <v>0.625</v>
      </c>
      <c r="F220" s="38">
        <v>100</v>
      </c>
      <c r="G220" s="28">
        <v>0.5</v>
      </c>
      <c r="H220" s="38">
        <v>90</v>
      </c>
      <c r="I220" s="28">
        <v>0.61458333333333337</v>
      </c>
      <c r="J220" s="38">
        <v>150</v>
      </c>
      <c r="K220" s="28">
        <v>0.79166666666666663</v>
      </c>
      <c r="L220" s="38">
        <v>120</v>
      </c>
      <c r="M220" s="28">
        <v>0.625</v>
      </c>
      <c r="N220" s="29">
        <v>60</v>
      </c>
      <c r="O220" s="28">
        <v>0.97916666666666663</v>
      </c>
      <c r="P220" s="66"/>
      <c r="Q220" s="82" t="s">
        <v>83</v>
      </c>
      <c r="R220" s="82"/>
      <c r="S220" s="2"/>
      <c r="T220" s="2"/>
    </row>
    <row r="221" spans="2:20" x14ac:dyDescent="0.25">
      <c r="B221" s="14"/>
      <c r="C221" s="28"/>
      <c r="D221" s="48">
        <v>90</v>
      </c>
      <c r="E221" s="28">
        <v>0.77083333333333337</v>
      </c>
      <c r="F221" s="38">
        <v>90</v>
      </c>
      <c r="G221" s="28">
        <v>0.71875</v>
      </c>
      <c r="H221" s="29">
        <v>90</v>
      </c>
      <c r="I221" s="28">
        <v>0.78125</v>
      </c>
      <c r="J221" s="49">
        <v>90</v>
      </c>
      <c r="K221" s="28">
        <v>0.97916666666666663</v>
      </c>
      <c r="L221" s="38">
        <v>140</v>
      </c>
      <c r="M221" s="28">
        <v>0.82291666666666663</v>
      </c>
      <c r="N221" s="14"/>
      <c r="O221" s="28"/>
      <c r="P221" s="66"/>
      <c r="Q221" s="79" t="s">
        <v>84</v>
      </c>
      <c r="R221" s="79"/>
      <c r="S221" s="79"/>
      <c r="T221" s="79"/>
    </row>
    <row r="222" spans="2:20" x14ac:dyDescent="0.25">
      <c r="B222" s="14"/>
      <c r="C222" s="28"/>
      <c r="D222" s="47">
        <v>90</v>
      </c>
      <c r="E222" s="28">
        <v>0.98958333333333337</v>
      </c>
      <c r="F222" s="29">
        <v>120</v>
      </c>
      <c r="G222" s="28">
        <v>0.9375</v>
      </c>
      <c r="H222" s="29">
        <v>90</v>
      </c>
      <c r="I222" s="28">
        <v>0.9375</v>
      </c>
      <c r="J222" s="14"/>
      <c r="K222" s="28"/>
      <c r="L222" s="29">
        <v>50</v>
      </c>
      <c r="M222" s="28">
        <v>0.91666666666666663</v>
      </c>
      <c r="N222" s="14"/>
      <c r="O222" s="28"/>
      <c r="P222" s="66"/>
      <c r="Q222" s="64"/>
      <c r="R222" s="64"/>
      <c r="S222" s="2"/>
      <c r="T222" s="2"/>
    </row>
    <row r="223" spans="2:20" x14ac:dyDescent="0.25">
      <c r="B223" s="14"/>
      <c r="C223" s="28"/>
      <c r="D223" s="14"/>
      <c r="E223" s="28"/>
      <c r="F223" s="14"/>
      <c r="G223" s="28"/>
      <c r="H223" s="14"/>
      <c r="I223" s="28"/>
      <c r="J223" s="14"/>
      <c r="K223" s="28"/>
      <c r="L223" s="29">
        <v>120</v>
      </c>
      <c r="M223" s="28">
        <v>0.96875</v>
      </c>
      <c r="N223" s="14"/>
      <c r="O223" s="28"/>
      <c r="P223" s="66"/>
      <c r="Q223" s="64"/>
      <c r="R223" s="64"/>
      <c r="S223" s="2"/>
      <c r="T223" s="2"/>
    </row>
    <row r="224" spans="2:20" x14ac:dyDescent="0.25">
      <c r="B224" s="14"/>
      <c r="C224" s="28"/>
      <c r="D224" s="14"/>
      <c r="E224" s="28"/>
      <c r="F224" s="14"/>
      <c r="G224" s="28"/>
      <c r="H224" s="14"/>
      <c r="I224" s="28"/>
      <c r="J224" s="14"/>
      <c r="K224" s="28"/>
      <c r="L224" s="14"/>
      <c r="M224" s="28"/>
      <c r="N224" s="14"/>
      <c r="O224" s="28"/>
      <c r="P224" s="66"/>
      <c r="Q224" s="64"/>
      <c r="R224" s="64"/>
      <c r="S224" s="2"/>
      <c r="T224" s="2"/>
    </row>
    <row r="225" spans="2:20" x14ac:dyDescent="0.25">
      <c r="B225" s="50" t="s">
        <v>85</v>
      </c>
      <c r="C225" s="28" t="s">
        <v>57</v>
      </c>
      <c r="D225" s="50" t="s">
        <v>85</v>
      </c>
      <c r="E225" s="46" t="s">
        <v>29</v>
      </c>
      <c r="F225" s="50" t="s">
        <v>85</v>
      </c>
      <c r="G225" s="28" t="s">
        <v>17</v>
      </c>
      <c r="H225" s="50" t="s">
        <v>85</v>
      </c>
      <c r="I225" s="28" t="s">
        <v>73</v>
      </c>
      <c r="J225" s="50" t="s">
        <v>85</v>
      </c>
      <c r="K225" s="32" t="s">
        <v>21</v>
      </c>
      <c r="L225" s="50" t="s">
        <v>85</v>
      </c>
      <c r="M225" s="32" t="s">
        <v>26</v>
      </c>
      <c r="N225" s="14"/>
      <c r="O225" s="28"/>
      <c r="P225" s="66"/>
      <c r="Q225" s="64"/>
      <c r="R225" s="64"/>
      <c r="S225" s="2"/>
      <c r="T225" s="2"/>
    </row>
    <row r="226" spans="2:20" x14ac:dyDescent="0.25">
      <c r="B226" s="40"/>
      <c r="C226" s="20" t="s">
        <v>18</v>
      </c>
      <c r="D226" s="40"/>
      <c r="E226" s="20"/>
      <c r="F226" s="40"/>
      <c r="G226" s="28"/>
      <c r="H226" s="50" t="s">
        <v>85</v>
      </c>
      <c r="I226" s="46" t="s">
        <v>57</v>
      </c>
      <c r="J226" s="40"/>
      <c r="K226" s="28"/>
      <c r="L226" s="40"/>
      <c r="M226" s="28"/>
      <c r="N226" s="14"/>
      <c r="O226" s="28"/>
      <c r="P226" s="66"/>
      <c r="Q226" s="64"/>
      <c r="R226" s="64"/>
      <c r="S226" s="2"/>
      <c r="T226" s="2"/>
    </row>
    <row r="227" spans="2:20" x14ac:dyDescent="0.25">
      <c r="B227" s="40"/>
      <c r="C227" s="51"/>
      <c r="D227" s="40"/>
      <c r="E227" s="20"/>
      <c r="F227" s="40"/>
      <c r="G227" s="28"/>
      <c r="H227" s="50" t="s">
        <v>85</v>
      </c>
      <c r="I227" s="46" t="s">
        <v>27</v>
      </c>
      <c r="J227" s="40"/>
      <c r="K227" s="28"/>
      <c r="L227" s="40"/>
      <c r="M227" s="28"/>
      <c r="N227" s="14"/>
      <c r="O227" s="20"/>
      <c r="P227" s="66"/>
      <c r="Q227" s="64"/>
      <c r="R227" s="64"/>
      <c r="S227" s="2"/>
      <c r="T227" s="2"/>
    </row>
    <row r="228" spans="2:20" x14ac:dyDescent="0.25">
      <c r="B228" s="40"/>
      <c r="C228" s="20"/>
      <c r="D228" s="40"/>
      <c r="E228" s="20"/>
      <c r="F228" s="40"/>
      <c r="G228" s="20"/>
      <c r="H228" s="40"/>
      <c r="I228" s="20"/>
      <c r="J228" s="40"/>
      <c r="K228" s="20"/>
      <c r="L228" s="40"/>
      <c r="M228" s="20"/>
      <c r="N228" s="14"/>
      <c r="O228" s="20"/>
      <c r="P228" s="66"/>
      <c r="Q228" s="64"/>
      <c r="R228" s="64"/>
      <c r="S228" s="2"/>
      <c r="T228" s="2"/>
    </row>
    <row r="229" spans="2:20" x14ac:dyDescent="0.25">
      <c r="B229" s="23">
        <v>90</v>
      </c>
      <c r="C229" s="12"/>
      <c r="D229" s="23">
        <v>45</v>
      </c>
      <c r="E229" s="12"/>
      <c r="F229" s="23">
        <v>45</v>
      </c>
      <c r="G229" s="12"/>
      <c r="H229" s="23">
        <v>135</v>
      </c>
      <c r="I229" s="12"/>
      <c r="J229" s="23">
        <v>45</v>
      </c>
      <c r="K229" s="12"/>
      <c r="L229" s="23">
        <v>45</v>
      </c>
      <c r="M229" s="12"/>
      <c r="N229" s="14"/>
      <c r="O229" s="12"/>
      <c r="P229" s="66"/>
      <c r="Q229" s="64"/>
      <c r="R229" s="64"/>
      <c r="S229" s="2"/>
      <c r="T229" s="2"/>
    </row>
    <row r="230" spans="2:20" x14ac:dyDescent="0.25">
      <c r="B230" s="19"/>
      <c r="C230" s="12"/>
      <c r="D230" s="19"/>
      <c r="E230" s="12"/>
      <c r="F230" s="19"/>
      <c r="G230" s="12"/>
      <c r="H230" s="19"/>
      <c r="I230" s="12"/>
      <c r="J230" s="19"/>
      <c r="K230" s="12"/>
      <c r="L230" s="19"/>
      <c r="M230" s="12"/>
      <c r="N230" s="19"/>
      <c r="O230" s="12"/>
      <c r="P230" s="66"/>
      <c r="Q230" s="64"/>
      <c r="R230" s="64"/>
      <c r="S230" s="2"/>
      <c r="T230" s="2"/>
    </row>
    <row r="231" spans="2:20" x14ac:dyDescent="0.25">
      <c r="B231" s="24" t="s">
        <v>13</v>
      </c>
      <c r="C231" s="12"/>
      <c r="D231" s="24" t="s">
        <v>13</v>
      </c>
      <c r="E231" s="12"/>
      <c r="F231" s="24" t="s">
        <v>13</v>
      </c>
      <c r="G231" s="12"/>
      <c r="H231" s="24" t="s">
        <v>13</v>
      </c>
      <c r="I231" s="12"/>
      <c r="J231" s="24" t="s">
        <v>13</v>
      </c>
      <c r="K231" s="12"/>
      <c r="L231" s="24" t="s">
        <v>13</v>
      </c>
      <c r="M231" s="12"/>
      <c r="N231" s="24" t="s">
        <v>13</v>
      </c>
      <c r="O231" s="12"/>
      <c r="P231" s="66" t="s">
        <v>67</v>
      </c>
      <c r="Q231" s="64"/>
      <c r="R231" s="64"/>
      <c r="S231" s="2"/>
      <c r="T231" s="2"/>
    </row>
    <row r="232" spans="2:20" ht="15.75" thickBot="1" x14ac:dyDescent="0.3">
      <c r="B232" s="25">
        <f>SUM(B215:B223)+B229</f>
        <v>700</v>
      </c>
      <c r="C232" s="26"/>
      <c r="D232" s="25">
        <f>SUM(D215:D224)+D229</f>
        <v>865</v>
      </c>
      <c r="E232" s="26"/>
      <c r="F232" s="25">
        <f>SUM(F215:F224)+F229</f>
        <v>865</v>
      </c>
      <c r="G232" s="26"/>
      <c r="H232" s="25">
        <f>SUM(H215:H222)+H229</f>
        <v>975</v>
      </c>
      <c r="I232" s="26"/>
      <c r="J232" s="25">
        <f>SUM(J215:J222)+J229</f>
        <v>915</v>
      </c>
      <c r="K232" s="26"/>
      <c r="L232" s="25">
        <f>SUM(L215:L224)+L229</f>
        <v>945</v>
      </c>
      <c r="M232" s="26"/>
      <c r="N232" s="25">
        <f>SUM(N215:N224)+N229</f>
        <v>730</v>
      </c>
      <c r="O232" s="26"/>
      <c r="P232" s="67">
        <f>SUM(B232:O232)/7</f>
        <v>856.42857142857144</v>
      </c>
      <c r="Q232" s="64"/>
      <c r="R232" s="64"/>
      <c r="S232" s="2"/>
      <c r="T232" s="2"/>
    </row>
    <row r="233" spans="2:20" ht="15.75" thickBot="1" x14ac:dyDescent="0.3"/>
    <row r="234" spans="2:20" x14ac:dyDescent="0.25">
      <c r="B234" s="73">
        <v>45944</v>
      </c>
      <c r="C234" s="74"/>
      <c r="D234" s="73">
        <v>45945</v>
      </c>
      <c r="E234" s="74"/>
      <c r="F234" s="73">
        <v>45946</v>
      </c>
      <c r="G234" s="74"/>
      <c r="H234" s="73">
        <v>45947</v>
      </c>
      <c r="I234" s="74"/>
      <c r="J234" s="73">
        <v>45948</v>
      </c>
      <c r="K234" s="74"/>
      <c r="L234" s="73">
        <v>45949</v>
      </c>
      <c r="M234" s="74"/>
      <c r="N234" s="73">
        <v>45950</v>
      </c>
      <c r="O234" s="74"/>
      <c r="P234" s="66"/>
      <c r="Q234" s="64"/>
      <c r="R234" s="64"/>
      <c r="S234" s="2"/>
      <c r="T234" s="2"/>
    </row>
    <row r="235" spans="2:20" x14ac:dyDescent="0.25">
      <c r="B235" s="3" t="s">
        <v>11</v>
      </c>
      <c r="C235" s="4" t="s">
        <v>12</v>
      </c>
      <c r="D235" s="3" t="s">
        <v>11</v>
      </c>
      <c r="E235" s="4" t="s">
        <v>12</v>
      </c>
      <c r="F235" s="3" t="s">
        <v>11</v>
      </c>
      <c r="G235" s="4" t="s">
        <v>12</v>
      </c>
      <c r="H235" s="3" t="s">
        <v>11</v>
      </c>
      <c r="I235" s="4" t="s">
        <v>12</v>
      </c>
      <c r="J235" s="3" t="s">
        <v>11</v>
      </c>
      <c r="K235" s="4" t="s">
        <v>12</v>
      </c>
      <c r="L235" s="3" t="s">
        <v>11</v>
      </c>
      <c r="M235" s="4" t="s">
        <v>12</v>
      </c>
      <c r="N235" s="3" t="s">
        <v>11</v>
      </c>
      <c r="O235" s="4" t="s">
        <v>12</v>
      </c>
      <c r="P235" s="66"/>
      <c r="Q235" s="64"/>
      <c r="R235" s="64"/>
      <c r="S235" s="2"/>
      <c r="T235" s="2"/>
    </row>
    <row r="236" spans="2:20" x14ac:dyDescent="0.25">
      <c r="B236" s="29">
        <v>150</v>
      </c>
      <c r="C236" s="28">
        <v>1.0416666666666666E-2</v>
      </c>
      <c r="D236" s="47">
        <v>100</v>
      </c>
      <c r="E236" s="28">
        <v>7.2916666666666671E-2</v>
      </c>
      <c r="F236" s="29">
        <v>70</v>
      </c>
      <c r="G236" s="28">
        <v>1.0416666666666666E-2</v>
      </c>
      <c r="H236" s="29">
        <v>150</v>
      </c>
      <c r="I236" s="28">
        <v>2.0833333333333332E-2</v>
      </c>
      <c r="J236" s="39">
        <v>130</v>
      </c>
      <c r="K236" s="28">
        <v>3.125E-2</v>
      </c>
      <c r="L236" s="29">
        <v>150</v>
      </c>
      <c r="M236" s="28">
        <v>1.0416666666666666E-2</v>
      </c>
      <c r="N236" s="47">
        <v>70</v>
      </c>
      <c r="O236" s="28">
        <v>2.0833333333333332E-2</v>
      </c>
      <c r="P236" s="66"/>
      <c r="Q236" s="64"/>
      <c r="R236" s="64"/>
      <c r="S236" s="2"/>
      <c r="T236" s="2"/>
    </row>
    <row r="237" spans="2:20" x14ac:dyDescent="0.25">
      <c r="B237" s="29">
        <v>140</v>
      </c>
      <c r="C237" s="28">
        <v>0.13541666666666666</v>
      </c>
      <c r="D237" s="47">
        <v>110</v>
      </c>
      <c r="E237" s="28">
        <v>0.19791666666666666</v>
      </c>
      <c r="F237" s="29">
        <v>150</v>
      </c>
      <c r="G237" s="28">
        <v>0.15625</v>
      </c>
      <c r="H237" s="29">
        <v>150</v>
      </c>
      <c r="I237" s="28">
        <v>0.15625</v>
      </c>
      <c r="J237" s="29">
        <v>150</v>
      </c>
      <c r="K237" s="28">
        <v>0.14583333333333334</v>
      </c>
      <c r="L237" s="29">
        <v>150</v>
      </c>
      <c r="M237" s="28">
        <v>0.19791666666666666</v>
      </c>
      <c r="N237" s="47">
        <v>120</v>
      </c>
      <c r="O237" s="28">
        <v>0.17708333333333334</v>
      </c>
      <c r="P237" s="66"/>
      <c r="Q237" s="64"/>
      <c r="R237" s="64"/>
      <c r="S237" s="2"/>
      <c r="T237" s="2"/>
    </row>
    <row r="238" spans="2:20" x14ac:dyDescent="0.25">
      <c r="B238" s="29">
        <v>30</v>
      </c>
      <c r="C238" s="28">
        <v>0.21875</v>
      </c>
      <c r="D238" s="47">
        <v>60</v>
      </c>
      <c r="E238" s="28">
        <v>0.29166666666666669</v>
      </c>
      <c r="F238" s="38">
        <v>120</v>
      </c>
      <c r="G238" s="28">
        <v>0.36458333333333331</v>
      </c>
      <c r="H238" s="29">
        <v>150</v>
      </c>
      <c r="I238" s="28">
        <v>0.29166666666666669</v>
      </c>
      <c r="J238" s="29">
        <v>120</v>
      </c>
      <c r="K238" s="28">
        <v>0.5625</v>
      </c>
      <c r="L238" s="29">
        <v>110</v>
      </c>
      <c r="M238" s="28">
        <v>0.29166666666666669</v>
      </c>
      <c r="N238" s="47">
        <v>120</v>
      </c>
      <c r="O238" s="28">
        <v>0.29166666666666669</v>
      </c>
      <c r="P238" s="66"/>
      <c r="Q238" s="64"/>
      <c r="R238" s="64"/>
      <c r="S238" s="2"/>
      <c r="T238" s="2"/>
    </row>
    <row r="239" spans="2:20" x14ac:dyDescent="0.25">
      <c r="B239" s="29">
        <v>120</v>
      </c>
      <c r="C239" s="28">
        <v>0.29166666666666669</v>
      </c>
      <c r="D239" s="48">
        <v>120</v>
      </c>
      <c r="E239" s="28">
        <v>0.40625</v>
      </c>
      <c r="F239" s="38">
        <v>150</v>
      </c>
      <c r="G239" s="28">
        <v>0.64583333333333337</v>
      </c>
      <c r="H239" s="38">
        <v>120</v>
      </c>
      <c r="I239" s="28">
        <v>0.57291666666666663</v>
      </c>
      <c r="J239" s="38">
        <v>120</v>
      </c>
      <c r="K239" s="28">
        <v>0.63541666666666663</v>
      </c>
      <c r="L239" s="38">
        <v>150</v>
      </c>
      <c r="M239" s="28">
        <v>0.60416666666666663</v>
      </c>
      <c r="N239" s="48">
        <v>60</v>
      </c>
      <c r="O239" s="28">
        <v>0.39583333333333331</v>
      </c>
      <c r="P239" s="66"/>
      <c r="Q239" s="80" t="s">
        <v>78</v>
      </c>
      <c r="R239" s="80"/>
      <c r="S239" s="2"/>
      <c r="T239" s="2"/>
    </row>
    <row r="240" spans="2:20" x14ac:dyDescent="0.25">
      <c r="B240" s="38">
        <v>120</v>
      </c>
      <c r="C240" s="28">
        <v>0.38541666666666669</v>
      </c>
      <c r="D240" s="48">
        <v>90</v>
      </c>
      <c r="E240" s="28">
        <v>0.57291666666666663</v>
      </c>
      <c r="F240" s="38">
        <v>120</v>
      </c>
      <c r="G240" s="28">
        <v>0.26041666666666669</v>
      </c>
      <c r="H240" s="38">
        <v>70</v>
      </c>
      <c r="I240" s="28">
        <v>0.77083333333333337</v>
      </c>
      <c r="J240" s="38">
        <v>120</v>
      </c>
      <c r="K240" s="28">
        <v>0.71875</v>
      </c>
      <c r="L240" s="38">
        <v>120</v>
      </c>
      <c r="M240" s="28">
        <v>0.79166666666666663</v>
      </c>
      <c r="N240" s="48">
        <v>120</v>
      </c>
      <c r="O240" s="28">
        <v>0.51041666666666663</v>
      </c>
      <c r="P240" s="66"/>
      <c r="Q240" s="81" t="s">
        <v>82</v>
      </c>
      <c r="R240" s="81"/>
      <c r="S240" s="2"/>
      <c r="T240" s="2"/>
    </row>
    <row r="241" spans="2:20" x14ac:dyDescent="0.25">
      <c r="B241" s="38">
        <v>120</v>
      </c>
      <c r="C241" s="28">
        <v>0.47916666666666669</v>
      </c>
      <c r="D241" s="48">
        <v>120</v>
      </c>
      <c r="E241" s="28">
        <v>0.72916666666666663</v>
      </c>
      <c r="F241" s="29">
        <v>60</v>
      </c>
      <c r="G241" s="28">
        <v>0.89583333333333337</v>
      </c>
      <c r="H241" s="29">
        <v>150</v>
      </c>
      <c r="I241" s="28">
        <v>0.875</v>
      </c>
      <c r="J241" s="38">
        <v>180</v>
      </c>
      <c r="K241" s="28">
        <v>0.86458333333333337</v>
      </c>
      <c r="L241" s="29">
        <v>150</v>
      </c>
      <c r="M241" s="28">
        <v>0.94791666666666663</v>
      </c>
      <c r="N241" s="48">
        <v>60</v>
      </c>
      <c r="O241" s="28">
        <v>0.6875</v>
      </c>
      <c r="P241" s="66"/>
      <c r="Q241" s="82" t="s">
        <v>83</v>
      </c>
      <c r="R241" s="82"/>
      <c r="S241" s="2"/>
      <c r="T241" s="2"/>
    </row>
    <row r="242" spans="2:20" x14ac:dyDescent="0.25">
      <c r="B242" s="38">
        <v>120</v>
      </c>
      <c r="C242" s="28">
        <v>0.64583333333333337</v>
      </c>
      <c r="D242" s="47">
        <v>150</v>
      </c>
      <c r="E242" s="28">
        <v>0.90625</v>
      </c>
      <c r="F242" s="14"/>
      <c r="G242" s="28"/>
      <c r="H242" s="14"/>
      <c r="I242" s="28"/>
      <c r="J242" s="14"/>
      <c r="K242" s="28"/>
      <c r="L242" s="14"/>
      <c r="M242" s="28"/>
      <c r="N242" s="48">
        <v>120</v>
      </c>
      <c r="O242" s="28">
        <v>0.82291666666666663</v>
      </c>
      <c r="P242" s="66"/>
      <c r="Q242" s="79" t="s">
        <v>84</v>
      </c>
      <c r="R242" s="79"/>
      <c r="S242" s="79"/>
      <c r="T242" s="79"/>
    </row>
    <row r="243" spans="2:20" x14ac:dyDescent="0.25">
      <c r="B243" s="38">
        <v>150</v>
      </c>
      <c r="C243" s="28">
        <v>0.79166666666666663</v>
      </c>
      <c r="D243" s="14"/>
      <c r="E243" s="28"/>
      <c r="F243" s="14"/>
      <c r="G243" s="28"/>
      <c r="H243" s="14"/>
      <c r="I243" s="28"/>
      <c r="J243" s="14"/>
      <c r="K243" s="28"/>
      <c r="L243" s="14"/>
      <c r="M243" s="28"/>
      <c r="N243" s="49">
        <v>130</v>
      </c>
      <c r="O243" s="28">
        <v>0.95833333333333337</v>
      </c>
      <c r="P243" s="66"/>
      <c r="Q243" s="64"/>
      <c r="R243" s="64"/>
      <c r="S243" s="2"/>
      <c r="T243" s="2"/>
    </row>
    <row r="244" spans="2:20" x14ac:dyDescent="0.25">
      <c r="B244" s="29">
        <v>150</v>
      </c>
      <c r="C244" s="28">
        <v>0.92708333333333337</v>
      </c>
      <c r="D244" s="14"/>
      <c r="E244" s="28"/>
      <c r="F244" s="14"/>
      <c r="G244" s="28"/>
      <c r="H244" s="14"/>
      <c r="I244" s="28"/>
      <c r="J244" s="14"/>
      <c r="K244" s="28"/>
      <c r="L244" s="14"/>
      <c r="M244" s="28"/>
      <c r="N244" s="14"/>
      <c r="O244" s="28"/>
      <c r="P244" s="66"/>
      <c r="Q244" s="64"/>
      <c r="R244" s="64"/>
      <c r="S244" s="2"/>
      <c r="T244" s="2"/>
    </row>
    <row r="245" spans="2:20" x14ac:dyDescent="0.25">
      <c r="B245" s="14"/>
      <c r="C245" s="28"/>
      <c r="D245" s="14"/>
      <c r="E245" s="28"/>
      <c r="F245" s="14"/>
      <c r="G245" s="28"/>
      <c r="H245" s="14"/>
      <c r="I245" s="28"/>
      <c r="J245" s="14"/>
      <c r="K245" s="28"/>
      <c r="L245" s="14"/>
      <c r="M245" s="28"/>
      <c r="N245" s="14"/>
      <c r="O245" s="28"/>
      <c r="P245" s="66"/>
      <c r="Q245" s="64"/>
      <c r="R245" s="64"/>
      <c r="S245" s="2"/>
      <c r="T245" s="2"/>
    </row>
    <row r="246" spans="2:20" x14ac:dyDescent="0.25">
      <c r="B246" s="50" t="s">
        <v>85</v>
      </c>
      <c r="C246" s="52" t="s">
        <v>15</v>
      </c>
      <c r="D246" s="40"/>
      <c r="E246" s="46"/>
      <c r="F246" s="50" t="s">
        <v>85</v>
      </c>
      <c r="G246" s="28" t="s">
        <v>74</v>
      </c>
      <c r="H246" s="50" t="s">
        <v>85</v>
      </c>
      <c r="I246" s="28" t="s">
        <v>65</v>
      </c>
      <c r="J246" s="40"/>
      <c r="K246" s="32"/>
      <c r="L246" s="40"/>
      <c r="M246" s="28"/>
      <c r="N246" s="50" t="s">
        <v>85</v>
      </c>
      <c r="O246" s="28" t="s">
        <v>8</v>
      </c>
      <c r="P246" s="66"/>
      <c r="Q246" s="64"/>
      <c r="R246" s="64"/>
      <c r="S246" s="2"/>
      <c r="T246" s="2"/>
    </row>
    <row r="247" spans="2:20" x14ac:dyDescent="0.25">
      <c r="B247" s="40"/>
      <c r="C247" s="46"/>
      <c r="D247" s="40"/>
      <c r="E247" s="20"/>
      <c r="F247" s="40"/>
      <c r="G247" s="28"/>
      <c r="H247" s="40"/>
      <c r="I247" s="46"/>
      <c r="J247" s="40"/>
      <c r="K247" s="28"/>
      <c r="L247" s="40"/>
      <c r="M247" s="28"/>
      <c r="N247" s="40"/>
      <c r="O247" s="28"/>
      <c r="P247" s="66"/>
      <c r="Q247" s="64"/>
      <c r="R247" s="64"/>
      <c r="S247" s="2"/>
      <c r="T247" s="2"/>
    </row>
    <row r="248" spans="2:20" x14ac:dyDescent="0.25">
      <c r="B248" s="40"/>
      <c r="C248" s="46"/>
      <c r="D248" s="40"/>
      <c r="E248" s="20"/>
      <c r="F248" s="40"/>
      <c r="G248" s="28"/>
      <c r="H248" s="40"/>
      <c r="I248" s="46"/>
      <c r="J248" s="40"/>
      <c r="K248" s="28"/>
      <c r="L248" s="40"/>
      <c r="M248" s="28"/>
      <c r="N248" s="40"/>
      <c r="O248" s="20"/>
      <c r="P248" s="66"/>
      <c r="Q248" s="64"/>
      <c r="R248" s="64"/>
      <c r="S248" s="2"/>
      <c r="T248" s="2"/>
    </row>
    <row r="249" spans="2:20" x14ac:dyDescent="0.25">
      <c r="B249" s="40"/>
      <c r="C249" s="20"/>
      <c r="D249" s="40"/>
      <c r="E249" s="20"/>
      <c r="F249" s="40"/>
      <c r="G249" s="20"/>
      <c r="H249" s="40"/>
      <c r="I249" s="20"/>
      <c r="J249" s="40"/>
      <c r="K249" s="20"/>
      <c r="L249" s="40"/>
      <c r="M249" s="20"/>
      <c r="N249" s="40"/>
      <c r="O249" s="20"/>
      <c r="P249" s="66"/>
      <c r="Q249" s="64"/>
      <c r="R249" s="64"/>
      <c r="S249" s="2"/>
      <c r="T249" s="2"/>
    </row>
    <row r="250" spans="2:20" x14ac:dyDescent="0.25">
      <c r="B250" s="23">
        <v>45</v>
      </c>
      <c r="C250" s="12"/>
      <c r="D250" s="40"/>
      <c r="E250" s="12"/>
      <c r="F250" s="23">
        <v>45</v>
      </c>
      <c r="G250" s="12"/>
      <c r="H250" s="23">
        <v>45</v>
      </c>
      <c r="I250" s="12"/>
      <c r="J250" s="40"/>
      <c r="K250" s="12"/>
      <c r="L250" s="40"/>
      <c r="M250" s="12"/>
      <c r="N250" s="23">
        <v>45</v>
      </c>
      <c r="O250" s="12"/>
      <c r="P250" s="66"/>
      <c r="Q250" s="64"/>
      <c r="R250" s="64"/>
      <c r="S250" s="2"/>
      <c r="T250" s="2"/>
    </row>
    <row r="251" spans="2:20" x14ac:dyDescent="0.25">
      <c r="B251" s="19"/>
      <c r="C251" s="12"/>
      <c r="D251" s="19"/>
      <c r="E251" s="12"/>
      <c r="F251" s="19"/>
      <c r="G251" s="12"/>
      <c r="H251" s="19"/>
      <c r="I251" s="12"/>
      <c r="J251" s="19"/>
      <c r="K251" s="12"/>
      <c r="L251" s="19"/>
      <c r="M251" s="12"/>
      <c r="N251" s="19"/>
      <c r="O251" s="12"/>
      <c r="P251" s="66"/>
      <c r="Q251" s="64"/>
      <c r="R251" s="64"/>
      <c r="S251" s="2"/>
      <c r="T251" s="2"/>
    </row>
    <row r="252" spans="2:20" x14ac:dyDescent="0.25">
      <c r="B252" s="24" t="s">
        <v>13</v>
      </c>
      <c r="C252" s="12"/>
      <c r="D252" s="24" t="s">
        <v>13</v>
      </c>
      <c r="E252" s="12"/>
      <c r="F252" s="24" t="s">
        <v>13</v>
      </c>
      <c r="G252" s="12"/>
      <c r="H252" s="24" t="s">
        <v>13</v>
      </c>
      <c r="I252" s="12"/>
      <c r="J252" s="24" t="s">
        <v>13</v>
      </c>
      <c r="K252" s="12"/>
      <c r="L252" s="24" t="s">
        <v>13</v>
      </c>
      <c r="M252" s="12"/>
      <c r="N252" s="24" t="s">
        <v>13</v>
      </c>
      <c r="O252" s="12"/>
      <c r="P252" s="66" t="s">
        <v>67</v>
      </c>
      <c r="Q252" s="64"/>
      <c r="R252" s="64"/>
      <c r="S252" s="2"/>
      <c r="T252" s="2"/>
    </row>
    <row r="253" spans="2:20" ht="15.75" thickBot="1" x14ac:dyDescent="0.3">
      <c r="B253" s="25">
        <f>SUM(B236:B244)+B250</f>
        <v>1145</v>
      </c>
      <c r="C253" s="26"/>
      <c r="D253" s="25">
        <f>SUM(D236:D245)+D250</f>
        <v>750</v>
      </c>
      <c r="E253" s="26"/>
      <c r="F253" s="25">
        <f>SUM(F236:F245)+F250</f>
        <v>715</v>
      </c>
      <c r="G253" s="26"/>
      <c r="H253" s="25">
        <f>SUM(H236:H243)+H250</f>
        <v>835</v>
      </c>
      <c r="I253" s="26"/>
      <c r="J253" s="25">
        <f>SUM(J236:J243)+J250</f>
        <v>820</v>
      </c>
      <c r="K253" s="26"/>
      <c r="L253" s="25">
        <f>SUM(L236:L245)+L250</f>
        <v>830</v>
      </c>
      <c r="M253" s="26"/>
      <c r="N253" s="25">
        <f>SUM(N236:N245)+N250</f>
        <v>845</v>
      </c>
      <c r="O253" s="26"/>
      <c r="P253" s="67">
        <f>SUM(B253:O253)/7</f>
        <v>848.57142857142856</v>
      </c>
      <c r="Q253" s="64"/>
      <c r="R253" s="64"/>
      <c r="S253" s="2"/>
      <c r="T253" s="2"/>
    </row>
    <row r="254" spans="2:20" ht="15.75" thickBot="1" x14ac:dyDescent="0.3"/>
    <row r="255" spans="2:20" x14ac:dyDescent="0.25">
      <c r="B255" s="73">
        <v>45951</v>
      </c>
      <c r="C255" s="74"/>
      <c r="D255" s="73">
        <v>45952</v>
      </c>
      <c r="E255" s="74"/>
      <c r="F255" s="73">
        <v>45953</v>
      </c>
      <c r="G255" s="74"/>
      <c r="H255" s="73">
        <v>45954</v>
      </c>
      <c r="I255" s="74"/>
      <c r="J255" s="73">
        <v>45955</v>
      </c>
      <c r="K255" s="74"/>
      <c r="L255" s="73">
        <v>45956</v>
      </c>
      <c r="M255" s="74"/>
      <c r="N255" s="73">
        <v>45957</v>
      </c>
      <c r="O255" s="74"/>
      <c r="P255" s="66"/>
      <c r="Q255" s="64"/>
      <c r="R255" s="64"/>
      <c r="S255" s="2"/>
      <c r="T255" s="2"/>
    </row>
    <row r="256" spans="2:20" x14ac:dyDescent="0.25">
      <c r="B256" s="3" t="s">
        <v>11</v>
      </c>
      <c r="C256" s="4" t="s">
        <v>12</v>
      </c>
      <c r="D256" s="3" t="s">
        <v>11</v>
      </c>
      <c r="E256" s="4" t="s">
        <v>12</v>
      </c>
      <c r="F256" s="3" t="s">
        <v>11</v>
      </c>
      <c r="G256" s="4" t="s">
        <v>12</v>
      </c>
      <c r="H256" s="3" t="s">
        <v>11</v>
      </c>
      <c r="I256" s="4" t="s">
        <v>12</v>
      </c>
      <c r="J256" s="3" t="s">
        <v>11</v>
      </c>
      <c r="K256" s="4" t="s">
        <v>12</v>
      </c>
      <c r="L256" s="3" t="s">
        <v>11</v>
      </c>
      <c r="M256" s="4" t="s">
        <v>12</v>
      </c>
      <c r="N256" s="3" t="s">
        <v>11</v>
      </c>
      <c r="O256" s="4" t="s">
        <v>12</v>
      </c>
      <c r="P256" s="66"/>
      <c r="Q256" s="64"/>
      <c r="R256" s="64"/>
      <c r="S256" s="2"/>
      <c r="T256" s="2"/>
    </row>
    <row r="257" spans="2:20" x14ac:dyDescent="0.25">
      <c r="B257" s="48">
        <v>150</v>
      </c>
      <c r="C257" s="28">
        <v>7.2916666666666671E-2</v>
      </c>
      <c r="D257" s="47">
        <v>150</v>
      </c>
      <c r="E257" s="28">
        <v>9.375E-2</v>
      </c>
      <c r="F257" s="55">
        <v>150</v>
      </c>
      <c r="G257" s="56">
        <v>0.15625</v>
      </c>
      <c r="H257" s="47">
        <v>130</v>
      </c>
      <c r="I257" s="28">
        <v>6.25E-2</v>
      </c>
      <c r="J257" s="47">
        <v>150</v>
      </c>
      <c r="K257" s="28">
        <v>8.3333333333333329E-2</v>
      </c>
      <c r="L257" s="47">
        <v>120</v>
      </c>
      <c r="M257" s="28">
        <v>0.10416666666666667</v>
      </c>
      <c r="N257" s="47">
        <v>150</v>
      </c>
      <c r="O257" s="28">
        <v>8.3333333333333329E-2</v>
      </c>
      <c r="P257" s="66"/>
      <c r="Q257" s="64"/>
      <c r="R257" s="64"/>
      <c r="S257" s="2"/>
      <c r="T257" s="2"/>
    </row>
    <row r="258" spans="2:20" x14ac:dyDescent="0.25">
      <c r="B258" s="47">
        <v>150</v>
      </c>
      <c r="C258" s="28">
        <v>0.21875</v>
      </c>
      <c r="D258" s="47">
        <v>150</v>
      </c>
      <c r="E258" s="28">
        <v>0.25</v>
      </c>
      <c r="F258" s="55">
        <v>150</v>
      </c>
      <c r="G258" s="56">
        <v>0.29166666666666669</v>
      </c>
      <c r="H258" s="47">
        <v>150</v>
      </c>
      <c r="I258" s="28">
        <v>0.19791666666666666</v>
      </c>
      <c r="J258" s="47">
        <v>120</v>
      </c>
      <c r="K258" s="28">
        <v>0.20833333333333334</v>
      </c>
      <c r="L258" s="47">
        <v>150</v>
      </c>
      <c r="M258" s="28">
        <v>0.23958333333333334</v>
      </c>
      <c r="N258" s="47">
        <v>150</v>
      </c>
      <c r="O258" s="28">
        <v>0.22916666666666666</v>
      </c>
      <c r="P258" s="66"/>
      <c r="Q258" s="64"/>
      <c r="R258" s="64"/>
      <c r="S258" s="2"/>
      <c r="T258" s="2"/>
    </row>
    <row r="259" spans="2:20" x14ac:dyDescent="0.25">
      <c r="B259" s="47">
        <v>120</v>
      </c>
      <c r="C259" s="28">
        <v>0.39583333333333331</v>
      </c>
      <c r="D259" s="47">
        <v>150</v>
      </c>
      <c r="E259" s="28">
        <v>0.48958333333333331</v>
      </c>
      <c r="F259" s="57">
        <v>130</v>
      </c>
      <c r="G259" s="56">
        <v>0.5</v>
      </c>
      <c r="H259" s="47">
        <v>50</v>
      </c>
      <c r="I259" s="28">
        <v>0.32291666666666669</v>
      </c>
      <c r="J259" s="47">
        <v>110</v>
      </c>
      <c r="K259" s="28">
        <v>0.34375</v>
      </c>
      <c r="L259" s="47">
        <v>70</v>
      </c>
      <c r="M259" s="28">
        <v>0.35416666666666669</v>
      </c>
      <c r="N259" s="47">
        <v>130</v>
      </c>
      <c r="O259" s="28">
        <v>0.36458333333333331</v>
      </c>
      <c r="P259" s="66"/>
      <c r="Q259" s="64"/>
      <c r="R259" s="64"/>
      <c r="S259" s="2"/>
      <c r="T259" s="2"/>
    </row>
    <row r="260" spans="2:20" x14ac:dyDescent="0.25">
      <c r="B260" s="47">
        <v>120</v>
      </c>
      <c r="C260" s="28">
        <v>0.54166666666666663</v>
      </c>
      <c r="D260" s="48">
        <v>110</v>
      </c>
      <c r="E260" s="28">
        <v>0.15625</v>
      </c>
      <c r="F260" s="58">
        <v>120</v>
      </c>
      <c r="G260" s="56">
        <v>0.65625</v>
      </c>
      <c r="H260" s="48">
        <v>120</v>
      </c>
      <c r="I260" s="28">
        <v>0.40625</v>
      </c>
      <c r="J260" s="48">
        <v>150</v>
      </c>
      <c r="K260" s="28">
        <v>0.53125</v>
      </c>
      <c r="L260" s="48">
        <v>120</v>
      </c>
      <c r="M260" s="28">
        <v>0.5</v>
      </c>
      <c r="N260" s="48">
        <v>60</v>
      </c>
      <c r="O260" s="28">
        <v>0.54166666666666663</v>
      </c>
      <c r="P260" s="66"/>
      <c r="Q260" s="71" t="s">
        <v>78</v>
      </c>
      <c r="R260" s="71"/>
      <c r="S260" s="53"/>
      <c r="T260" s="53"/>
    </row>
    <row r="261" spans="2:20" x14ac:dyDescent="0.25">
      <c r="B261" s="48">
        <v>120</v>
      </c>
      <c r="C261" s="28">
        <v>0.66666666666666663</v>
      </c>
      <c r="D261" s="48">
        <v>120</v>
      </c>
      <c r="E261" s="28">
        <v>0.80208333333333337</v>
      </c>
      <c r="F261" s="58">
        <v>150</v>
      </c>
      <c r="G261" s="56">
        <v>0.79166666666666663</v>
      </c>
      <c r="H261" s="48">
        <v>120</v>
      </c>
      <c r="I261" s="28">
        <v>0.63541666666666663</v>
      </c>
      <c r="J261" s="48">
        <v>120</v>
      </c>
      <c r="K261" s="28">
        <v>0.25</v>
      </c>
      <c r="L261" s="48">
        <v>150</v>
      </c>
      <c r="M261" s="28">
        <v>0.72916666666666663</v>
      </c>
      <c r="N261" s="48">
        <v>120</v>
      </c>
      <c r="O261" s="28">
        <v>0.63541666666666663</v>
      </c>
      <c r="P261" s="66"/>
      <c r="Q261" s="78" t="s">
        <v>82</v>
      </c>
      <c r="R261" s="78"/>
      <c r="S261" s="53"/>
      <c r="T261" s="53"/>
    </row>
    <row r="262" spans="2:20" x14ac:dyDescent="0.25">
      <c r="B262" s="48">
        <v>120</v>
      </c>
      <c r="C262" s="28">
        <v>0.35416666666666669</v>
      </c>
      <c r="D262" s="47">
        <v>150</v>
      </c>
      <c r="E262" s="28">
        <v>0.95833333333333337</v>
      </c>
      <c r="F262" s="55">
        <v>70</v>
      </c>
      <c r="G262" s="56">
        <v>0.88541666666666663</v>
      </c>
      <c r="H262" s="48">
        <v>150</v>
      </c>
      <c r="I262" s="28">
        <v>0.8125</v>
      </c>
      <c r="J262" s="48">
        <v>120</v>
      </c>
      <c r="K262" s="28">
        <v>0.36458333333333331</v>
      </c>
      <c r="L262" s="47">
        <v>150</v>
      </c>
      <c r="M262" s="28">
        <v>0.90277777777777779</v>
      </c>
      <c r="N262" s="48">
        <v>120</v>
      </c>
      <c r="O262" s="28">
        <v>0.75</v>
      </c>
      <c r="P262" s="66"/>
      <c r="Q262" s="75" t="s">
        <v>83</v>
      </c>
      <c r="R262" s="75"/>
      <c r="S262" s="53"/>
      <c r="T262" s="53"/>
    </row>
    <row r="263" spans="2:20" x14ac:dyDescent="0.25">
      <c r="B263" s="48">
        <v>100</v>
      </c>
      <c r="C263" s="28">
        <v>0.97916666666666663</v>
      </c>
      <c r="D263" s="14"/>
      <c r="E263" s="28"/>
      <c r="F263" s="55">
        <v>120</v>
      </c>
      <c r="G263" s="56">
        <v>0.48958333333333331</v>
      </c>
      <c r="H263" s="47">
        <v>150</v>
      </c>
      <c r="I263" s="28">
        <v>0.97916666666666663</v>
      </c>
      <c r="J263" s="47">
        <v>150</v>
      </c>
      <c r="K263" s="28">
        <v>0.97916666666666663</v>
      </c>
      <c r="L263" s="14"/>
      <c r="M263" s="28"/>
      <c r="N263" s="48">
        <v>120</v>
      </c>
      <c r="O263" s="28">
        <v>0.82291666666666663</v>
      </c>
      <c r="P263" s="66"/>
      <c r="Q263" s="76" t="s">
        <v>84</v>
      </c>
      <c r="R263" s="76"/>
      <c r="S263" s="76"/>
      <c r="T263" s="76"/>
    </row>
    <row r="264" spans="2:20" x14ac:dyDescent="0.25">
      <c r="B264" s="14"/>
      <c r="C264" s="28"/>
      <c r="D264" s="14"/>
      <c r="E264" s="28"/>
      <c r="F264" s="14"/>
      <c r="G264" s="28"/>
      <c r="H264" s="14"/>
      <c r="I264" s="28"/>
      <c r="J264" s="14"/>
      <c r="K264" s="28"/>
      <c r="L264" s="14"/>
      <c r="M264" s="28"/>
      <c r="N264" s="47">
        <v>150</v>
      </c>
      <c r="O264" s="28">
        <v>0.92708333333333337</v>
      </c>
      <c r="P264" s="66"/>
      <c r="Q264" s="77" t="s">
        <v>75</v>
      </c>
      <c r="R264" s="77"/>
      <c r="S264" s="53"/>
      <c r="T264" s="53"/>
    </row>
    <row r="265" spans="2:20" x14ac:dyDescent="0.25">
      <c r="B265" s="14"/>
      <c r="C265" s="28"/>
      <c r="D265" s="14"/>
      <c r="E265" s="28"/>
      <c r="F265" s="14"/>
      <c r="G265" s="28"/>
      <c r="H265" s="14"/>
      <c r="I265" s="28"/>
      <c r="J265" s="14"/>
      <c r="K265" s="28"/>
      <c r="L265" s="14"/>
      <c r="M265" s="28"/>
      <c r="N265" s="14"/>
      <c r="O265" s="28"/>
      <c r="P265" s="66"/>
      <c r="Q265" s="64"/>
      <c r="R265" s="64"/>
      <c r="S265" s="2"/>
      <c r="T265" s="2"/>
    </row>
    <row r="266" spans="2:20" x14ac:dyDescent="0.25">
      <c r="B266" s="14"/>
      <c r="C266" s="28"/>
      <c r="D266" s="14"/>
      <c r="E266" s="28"/>
      <c r="F266" s="14"/>
      <c r="G266" s="28"/>
      <c r="H266" s="14"/>
      <c r="I266" s="28"/>
      <c r="J266" s="14"/>
      <c r="K266" s="28"/>
      <c r="L266" s="14"/>
      <c r="M266" s="28"/>
      <c r="N266" s="14"/>
      <c r="O266" s="28"/>
      <c r="P266" s="66"/>
      <c r="Q266" s="64"/>
      <c r="R266" s="64"/>
      <c r="S266" s="2"/>
      <c r="T266" s="2"/>
    </row>
    <row r="267" spans="2:20" ht="30" x14ac:dyDescent="0.25">
      <c r="B267" s="14"/>
      <c r="C267" s="52"/>
      <c r="D267" s="50" t="s">
        <v>85</v>
      </c>
      <c r="E267" s="46" t="s">
        <v>8</v>
      </c>
      <c r="F267" s="14"/>
      <c r="G267" s="28"/>
      <c r="H267" s="84" t="s">
        <v>92</v>
      </c>
      <c r="I267" s="85" t="s">
        <v>76</v>
      </c>
      <c r="J267" s="14"/>
      <c r="K267" s="32"/>
      <c r="L267" s="14"/>
      <c r="M267" s="28"/>
      <c r="N267" s="14"/>
      <c r="O267" s="28"/>
      <c r="P267" s="66"/>
      <c r="Q267" s="64"/>
      <c r="R267" s="64"/>
      <c r="S267" s="2"/>
      <c r="T267" s="2"/>
    </row>
    <row r="268" spans="2:20" x14ac:dyDescent="0.25">
      <c r="B268" s="14"/>
      <c r="C268" s="22"/>
      <c r="D268" s="40"/>
      <c r="E268" s="20"/>
      <c r="F268" s="14"/>
      <c r="G268" s="28"/>
      <c r="H268" s="14"/>
      <c r="J268" s="14"/>
      <c r="K268" s="28"/>
      <c r="L268" s="14"/>
      <c r="M268" s="28"/>
      <c r="N268" s="14"/>
      <c r="O268" s="28"/>
      <c r="P268" s="66"/>
      <c r="Q268" s="64"/>
      <c r="R268" s="64"/>
      <c r="S268" s="2"/>
      <c r="T268" s="2"/>
    </row>
    <row r="269" spans="2:20" x14ac:dyDescent="0.25">
      <c r="B269" s="14"/>
      <c r="C269" s="22"/>
      <c r="D269" s="40"/>
      <c r="E269" s="20"/>
      <c r="F269" s="14"/>
      <c r="G269" s="28"/>
      <c r="H269" s="14"/>
      <c r="I269" s="22"/>
      <c r="J269" s="14"/>
      <c r="K269" s="28"/>
      <c r="L269" s="14"/>
      <c r="M269" s="28"/>
      <c r="N269" s="14"/>
      <c r="O269" s="20"/>
      <c r="P269" s="66"/>
      <c r="Q269" s="64"/>
      <c r="R269" s="64"/>
      <c r="S269" s="2"/>
      <c r="T269" s="2"/>
    </row>
    <row r="270" spans="2:20" x14ac:dyDescent="0.25">
      <c r="B270" s="14"/>
      <c r="C270" s="20"/>
      <c r="D270" s="40"/>
      <c r="E270" s="20"/>
      <c r="F270" s="14"/>
      <c r="G270" s="20"/>
      <c r="H270" s="14"/>
      <c r="I270" s="20"/>
      <c r="J270" s="14"/>
      <c r="K270" s="20"/>
      <c r="L270" s="14"/>
      <c r="M270" s="20"/>
      <c r="N270" s="14"/>
      <c r="O270" s="20"/>
      <c r="P270" s="66"/>
      <c r="Q270" s="64"/>
      <c r="R270" s="64"/>
      <c r="S270" s="2"/>
      <c r="T270" s="2"/>
    </row>
    <row r="271" spans="2:20" x14ac:dyDescent="0.25">
      <c r="B271" s="14"/>
      <c r="C271" s="12"/>
      <c r="D271" s="23">
        <v>45</v>
      </c>
      <c r="E271" s="12"/>
      <c r="F271" s="14"/>
      <c r="G271" s="12"/>
      <c r="H271" s="14"/>
      <c r="I271" s="12"/>
      <c r="J271" s="14"/>
      <c r="K271" s="12"/>
      <c r="L271" s="14"/>
      <c r="M271" s="12"/>
      <c r="N271" s="14"/>
      <c r="O271" s="12"/>
      <c r="P271" s="66"/>
      <c r="Q271" s="64"/>
      <c r="R271" s="64"/>
      <c r="S271" s="2"/>
      <c r="T271" s="2"/>
    </row>
    <row r="272" spans="2:20" x14ac:dyDescent="0.25">
      <c r="B272" s="19"/>
      <c r="C272" s="12"/>
      <c r="D272" s="19"/>
      <c r="E272" s="12"/>
      <c r="F272" s="19"/>
      <c r="G272" s="12"/>
      <c r="H272" s="19"/>
      <c r="I272" s="12"/>
      <c r="J272" s="19"/>
      <c r="K272" s="12"/>
      <c r="L272" s="19"/>
      <c r="M272" s="12"/>
      <c r="N272" s="19"/>
      <c r="O272" s="12"/>
      <c r="P272" s="66"/>
      <c r="Q272" s="64"/>
      <c r="R272" s="64"/>
      <c r="S272" s="2"/>
      <c r="T272" s="2"/>
    </row>
    <row r="273" spans="2:20" x14ac:dyDescent="0.25">
      <c r="B273" s="24" t="s">
        <v>13</v>
      </c>
      <c r="C273" s="12"/>
      <c r="D273" s="24" t="s">
        <v>13</v>
      </c>
      <c r="E273" s="12"/>
      <c r="F273" s="24" t="s">
        <v>13</v>
      </c>
      <c r="G273" s="12"/>
      <c r="H273" s="24" t="s">
        <v>13</v>
      </c>
      <c r="I273" s="12"/>
      <c r="J273" s="24" t="s">
        <v>13</v>
      </c>
      <c r="K273" s="12"/>
      <c r="L273" s="24" t="s">
        <v>13</v>
      </c>
      <c r="M273" s="12"/>
      <c r="N273" s="24" t="s">
        <v>13</v>
      </c>
      <c r="O273" s="12"/>
      <c r="P273" s="66" t="s">
        <v>67</v>
      </c>
      <c r="Q273" s="64"/>
      <c r="R273" s="64"/>
      <c r="S273" s="2"/>
      <c r="T273" s="2"/>
    </row>
    <row r="274" spans="2:20" ht="15.75" thickBot="1" x14ac:dyDescent="0.3">
      <c r="B274" s="25">
        <f>SUM(B257:B265)+B271</f>
        <v>880</v>
      </c>
      <c r="C274" s="26"/>
      <c r="D274" s="25">
        <f>SUM(D257:D266)+D271</f>
        <v>875</v>
      </c>
      <c r="E274" s="26"/>
      <c r="F274" s="25">
        <f>SUM(F257:F266)+F271</f>
        <v>890</v>
      </c>
      <c r="G274" s="26"/>
      <c r="H274" s="25">
        <f>SUM(H257:H264)+H271</f>
        <v>870</v>
      </c>
      <c r="I274" s="26"/>
      <c r="J274" s="25">
        <f>SUM(J257:J264)+J271</f>
        <v>920</v>
      </c>
      <c r="K274" s="26"/>
      <c r="L274" s="25">
        <f>SUM(L257:L266)+L271</f>
        <v>760</v>
      </c>
      <c r="M274" s="26"/>
      <c r="N274" s="25">
        <f>SUM(N257:N266)+N271</f>
        <v>1000</v>
      </c>
      <c r="O274" s="26"/>
      <c r="P274" s="67">
        <f>SUM(B274:O274)/7</f>
        <v>885</v>
      </c>
      <c r="Q274" s="64"/>
      <c r="R274" s="64"/>
      <c r="S274" s="2"/>
      <c r="T274" s="2"/>
    </row>
    <row r="275" spans="2:20" ht="15.75" thickBot="1" x14ac:dyDescent="0.3"/>
    <row r="276" spans="2:20" x14ac:dyDescent="0.25">
      <c r="B276" s="73">
        <v>45958</v>
      </c>
      <c r="C276" s="74"/>
      <c r="D276" s="73">
        <v>45959</v>
      </c>
      <c r="E276" s="74"/>
      <c r="F276" s="73">
        <v>45960</v>
      </c>
      <c r="G276" s="74"/>
      <c r="H276" s="73">
        <v>45961</v>
      </c>
      <c r="I276" s="74"/>
      <c r="J276" s="73">
        <v>45962</v>
      </c>
      <c r="K276" s="74"/>
      <c r="L276" s="73">
        <v>45963</v>
      </c>
      <c r="M276" s="74"/>
      <c r="N276" s="73">
        <v>45964</v>
      </c>
      <c r="O276" s="74"/>
      <c r="P276" s="66"/>
      <c r="Q276" s="64"/>
      <c r="R276" s="64"/>
      <c r="S276" s="2"/>
      <c r="T276" s="2"/>
    </row>
    <row r="277" spans="2:20" x14ac:dyDescent="0.25">
      <c r="B277" s="3" t="s">
        <v>11</v>
      </c>
      <c r="C277" s="4" t="s">
        <v>12</v>
      </c>
      <c r="D277" s="3" t="s">
        <v>11</v>
      </c>
      <c r="E277" s="4" t="s">
        <v>12</v>
      </c>
      <c r="F277" s="3" t="s">
        <v>11</v>
      </c>
      <c r="G277" s="4" t="s">
        <v>12</v>
      </c>
      <c r="H277" s="3" t="s">
        <v>11</v>
      </c>
      <c r="I277" s="4" t="s">
        <v>12</v>
      </c>
      <c r="J277" s="3" t="s">
        <v>11</v>
      </c>
      <c r="K277" s="4" t="s">
        <v>12</v>
      </c>
      <c r="L277" s="3" t="s">
        <v>11</v>
      </c>
      <c r="M277" s="4" t="s">
        <v>12</v>
      </c>
      <c r="N277" s="3" t="s">
        <v>11</v>
      </c>
      <c r="O277" s="4" t="s">
        <v>12</v>
      </c>
      <c r="P277" s="66"/>
      <c r="Q277" s="64"/>
      <c r="R277" s="64"/>
      <c r="S277" s="2"/>
      <c r="T277" s="2"/>
    </row>
    <row r="278" spans="2:20" x14ac:dyDescent="0.25">
      <c r="B278" s="47">
        <v>150</v>
      </c>
      <c r="C278" s="28">
        <v>6.25E-2</v>
      </c>
      <c r="D278" s="47">
        <v>100</v>
      </c>
      <c r="E278" s="28">
        <v>5.2083333333333336E-2</v>
      </c>
      <c r="F278" s="29">
        <v>150</v>
      </c>
      <c r="G278" s="28">
        <v>0.10416666666666667</v>
      </c>
      <c r="H278" s="29">
        <v>150</v>
      </c>
      <c r="I278" s="28">
        <v>8.3333333333333329E-2</v>
      </c>
      <c r="J278" s="59">
        <v>140</v>
      </c>
      <c r="K278" s="60">
        <v>7.2916666666666671E-2</v>
      </c>
      <c r="L278" s="29">
        <v>150</v>
      </c>
      <c r="M278" s="28">
        <v>0.125</v>
      </c>
      <c r="N278" s="47">
        <v>150</v>
      </c>
      <c r="O278" s="28">
        <v>6.25E-2</v>
      </c>
      <c r="P278" s="66"/>
      <c r="Q278" s="64"/>
      <c r="R278" s="64"/>
      <c r="S278" s="2"/>
      <c r="T278" s="2"/>
    </row>
    <row r="279" spans="2:20" x14ac:dyDescent="0.25">
      <c r="B279" s="47">
        <v>90</v>
      </c>
      <c r="C279" s="28">
        <v>0.16666666666666666</v>
      </c>
      <c r="D279" s="47">
        <v>150</v>
      </c>
      <c r="E279" s="28">
        <v>0.1875</v>
      </c>
      <c r="F279" s="29">
        <v>90</v>
      </c>
      <c r="G279" s="28">
        <v>0.20833333333333334</v>
      </c>
      <c r="H279" s="29">
        <v>90</v>
      </c>
      <c r="I279" s="28">
        <v>0.17708333333333334</v>
      </c>
      <c r="J279" s="59">
        <v>150</v>
      </c>
      <c r="K279" s="60">
        <v>0.20833333333333334</v>
      </c>
      <c r="L279" s="29">
        <v>150</v>
      </c>
      <c r="M279" s="28">
        <v>0.28125</v>
      </c>
      <c r="N279" s="47">
        <v>150</v>
      </c>
      <c r="O279" s="28">
        <v>0.20833333333333334</v>
      </c>
      <c r="P279" s="66"/>
      <c r="Q279" s="64"/>
      <c r="R279" s="64"/>
      <c r="S279" s="2"/>
      <c r="T279" s="2"/>
    </row>
    <row r="280" spans="2:20" x14ac:dyDescent="0.25">
      <c r="B280" s="47">
        <v>130</v>
      </c>
      <c r="C280" s="28">
        <v>0.28125</v>
      </c>
      <c r="D280" s="47">
        <v>130</v>
      </c>
      <c r="E280" s="28">
        <v>0.28125</v>
      </c>
      <c r="F280" s="29">
        <v>120</v>
      </c>
      <c r="G280" s="28">
        <v>0.3125</v>
      </c>
      <c r="H280" s="29">
        <v>120</v>
      </c>
      <c r="I280" s="28">
        <v>0.27083333333333331</v>
      </c>
      <c r="J280" s="59">
        <v>120</v>
      </c>
      <c r="K280" s="60">
        <v>0.34375</v>
      </c>
      <c r="L280" s="29">
        <v>120</v>
      </c>
      <c r="M280" s="28">
        <v>0.51041666666666663</v>
      </c>
      <c r="N280" s="47">
        <v>100</v>
      </c>
      <c r="O280" s="28">
        <v>0.3125</v>
      </c>
      <c r="P280" s="66"/>
      <c r="Q280" s="64"/>
      <c r="R280" s="64"/>
      <c r="S280" s="2"/>
      <c r="T280" s="2"/>
    </row>
    <row r="281" spans="2:20" x14ac:dyDescent="0.25">
      <c r="B281" s="48">
        <v>90</v>
      </c>
      <c r="C281" s="28">
        <v>0.44791666666666669</v>
      </c>
      <c r="D281" s="48">
        <v>150</v>
      </c>
      <c r="E281" s="28">
        <v>0.4861111111111111</v>
      </c>
      <c r="F281" s="38">
        <v>120</v>
      </c>
      <c r="G281" s="28">
        <v>0.44791666666666669</v>
      </c>
      <c r="H281" s="38">
        <v>120</v>
      </c>
      <c r="I281" s="28">
        <v>0.39583333333333331</v>
      </c>
      <c r="J281" s="61">
        <v>120</v>
      </c>
      <c r="K281" s="60">
        <v>0.52083333333333337</v>
      </c>
      <c r="L281" s="38">
        <v>120</v>
      </c>
      <c r="M281" s="28">
        <v>0.6875</v>
      </c>
      <c r="N281" s="48">
        <v>70</v>
      </c>
      <c r="O281" s="28">
        <v>0.40625</v>
      </c>
      <c r="P281" s="66"/>
      <c r="Q281" s="71" t="s">
        <v>78</v>
      </c>
      <c r="R281" s="71"/>
      <c r="S281" s="53"/>
      <c r="T281" s="53"/>
    </row>
    <row r="282" spans="2:20" x14ac:dyDescent="0.25">
      <c r="B282" s="48">
        <v>150</v>
      </c>
      <c r="C282" s="28">
        <v>0.59375</v>
      </c>
      <c r="D282" s="48">
        <v>120</v>
      </c>
      <c r="E282" s="28">
        <v>0.65625</v>
      </c>
      <c r="F282" s="38">
        <v>150</v>
      </c>
      <c r="G282" s="28">
        <v>0.60416666666666663</v>
      </c>
      <c r="H282" s="38">
        <v>120</v>
      </c>
      <c r="I282" s="28">
        <v>0.52083333333333337</v>
      </c>
      <c r="J282" s="61">
        <v>120</v>
      </c>
      <c r="K282" s="60">
        <v>0.71875</v>
      </c>
      <c r="L282" s="38">
        <v>60</v>
      </c>
      <c r="M282" s="28">
        <v>0.84375</v>
      </c>
      <c r="N282" s="48">
        <v>120</v>
      </c>
      <c r="O282" s="28">
        <v>0.11458333333333333</v>
      </c>
      <c r="P282" s="66"/>
      <c r="Q282" s="78" t="s">
        <v>82</v>
      </c>
      <c r="R282" s="78"/>
      <c r="S282" s="53"/>
      <c r="T282" s="53"/>
    </row>
    <row r="283" spans="2:20" x14ac:dyDescent="0.25">
      <c r="B283" s="48">
        <v>120</v>
      </c>
      <c r="C283" s="28">
        <v>0.76041666666666663</v>
      </c>
      <c r="D283" s="48">
        <v>150</v>
      </c>
      <c r="E283" s="28">
        <v>0.79166666666666663</v>
      </c>
      <c r="F283" s="38">
        <v>120</v>
      </c>
      <c r="G283" s="28">
        <v>0.78125</v>
      </c>
      <c r="H283" s="38">
        <v>60</v>
      </c>
      <c r="I283" s="28">
        <v>0.6875</v>
      </c>
      <c r="J283" s="61">
        <v>120</v>
      </c>
      <c r="K283" s="60">
        <v>0.83333333333333337</v>
      </c>
      <c r="L283" s="29">
        <v>90</v>
      </c>
      <c r="M283" s="28">
        <v>0.96875</v>
      </c>
      <c r="N283" s="48">
        <v>60</v>
      </c>
      <c r="O283" s="28">
        <v>0.72916666666666663</v>
      </c>
      <c r="P283" s="66"/>
      <c r="Q283" s="75" t="s">
        <v>83</v>
      </c>
      <c r="R283" s="75"/>
      <c r="S283" s="53"/>
      <c r="T283" s="53"/>
    </row>
    <row r="284" spans="2:20" x14ac:dyDescent="0.25">
      <c r="B284" s="47">
        <v>65</v>
      </c>
      <c r="C284" s="28">
        <v>0.92708333333333337</v>
      </c>
      <c r="D284" s="47">
        <v>150</v>
      </c>
      <c r="E284" s="28">
        <v>0.92708333333333337</v>
      </c>
      <c r="F284" s="29">
        <v>150</v>
      </c>
      <c r="G284" s="28">
        <v>0.44791666666666669</v>
      </c>
      <c r="H284" s="38">
        <v>60</v>
      </c>
      <c r="I284" s="28">
        <v>0.77083333333333337</v>
      </c>
      <c r="J284" s="59">
        <v>110</v>
      </c>
      <c r="K284" s="60">
        <v>0.97916666666666663</v>
      </c>
      <c r="L284" s="40"/>
      <c r="M284" s="28"/>
      <c r="N284" s="47">
        <v>150</v>
      </c>
      <c r="O284" s="28">
        <v>0.84375</v>
      </c>
      <c r="P284" s="66"/>
      <c r="Q284" s="76" t="s">
        <v>84</v>
      </c>
      <c r="R284" s="76"/>
      <c r="S284" s="76"/>
      <c r="T284" s="76"/>
    </row>
    <row r="285" spans="2:20" ht="60" x14ac:dyDescent="0.25">
      <c r="B285" s="47">
        <v>90</v>
      </c>
      <c r="C285" s="28">
        <v>0.94444444444444442</v>
      </c>
      <c r="D285" s="14"/>
      <c r="E285" s="28"/>
      <c r="F285" s="40"/>
      <c r="G285" s="28"/>
      <c r="H285" s="29">
        <v>100</v>
      </c>
      <c r="I285" s="28">
        <v>0.91666666666666663</v>
      </c>
      <c r="J285" s="40"/>
      <c r="K285" s="28"/>
      <c r="L285" s="69" t="s">
        <v>86</v>
      </c>
      <c r="M285" s="70" t="s">
        <v>88</v>
      </c>
      <c r="N285" s="14"/>
      <c r="O285" s="28"/>
      <c r="P285" s="66"/>
      <c r="Q285" s="77" t="s">
        <v>75</v>
      </c>
      <c r="R285" s="77"/>
      <c r="S285" s="53"/>
      <c r="T285" s="53"/>
    </row>
    <row r="286" spans="2:20" x14ac:dyDescent="0.25">
      <c r="B286" s="14"/>
      <c r="C286" s="28"/>
      <c r="D286" s="14"/>
      <c r="E286" s="28"/>
      <c r="F286" s="40"/>
      <c r="G286" s="28"/>
      <c r="H286" s="40"/>
      <c r="I286" s="28"/>
      <c r="J286" s="40"/>
      <c r="K286" s="28"/>
      <c r="L286" s="40"/>
      <c r="N286" s="14"/>
      <c r="O286" s="28"/>
      <c r="P286" s="66"/>
      <c r="Q286" s="64"/>
      <c r="R286" s="64"/>
      <c r="S286" s="2"/>
      <c r="T286" s="2"/>
    </row>
    <row r="287" spans="2:20" x14ac:dyDescent="0.25">
      <c r="B287" s="14"/>
      <c r="C287" s="28"/>
      <c r="D287" s="14"/>
      <c r="E287" s="28"/>
      <c r="F287" s="40"/>
      <c r="G287" s="28"/>
      <c r="H287" s="40"/>
      <c r="I287" s="28"/>
      <c r="J287" s="40"/>
      <c r="K287" s="28"/>
      <c r="L287" s="40"/>
      <c r="M287" s="28"/>
      <c r="N287" s="14"/>
      <c r="O287" s="28"/>
      <c r="P287" s="66"/>
      <c r="Q287" s="64"/>
      <c r="R287" s="64"/>
      <c r="S287" s="2"/>
      <c r="T287" s="2"/>
    </row>
    <row r="288" spans="2:20" x14ac:dyDescent="0.25">
      <c r="B288" s="14"/>
      <c r="C288" s="52"/>
      <c r="D288" s="14"/>
      <c r="E288" s="46"/>
      <c r="F288" s="40"/>
      <c r="G288" s="28"/>
      <c r="H288" s="40"/>
      <c r="I288" s="28"/>
      <c r="J288" s="40"/>
      <c r="K288" s="32"/>
      <c r="L288" s="50" t="s">
        <v>85</v>
      </c>
      <c r="M288" s="46" t="s">
        <v>8</v>
      </c>
      <c r="N288" s="50" t="s">
        <v>85</v>
      </c>
      <c r="O288" s="46" t="s">
        <v>8</v>
      </c>
      <c r="P288" s="66"/>
      <c r="Q288" s="64"/>
      <c r="R288" s="64"/>
      <c r="S288" s="2"/>
      <c r="T288" s="2"/>
    </row>
    <row r="289" spans="2:20" x14ac:dyDescent="0.25">
      <c r="B289" s="14"/>
      <c r="C289" s="22"/>
      <c r="D289" s="14"/>
      <c r="E289" s="35"/>
      <c r="F289" s="14"/>
      <c r="G289" s="28"/>
      <c r="H289" s="14"/>
      <c r="I289" s="28"/>
      <c r="J289" s="14"/>
      <c r="K289" s="28"/>
      <c r="L289" s="14"/>
      <c r="M289" s="35"/>
      <c r="N289" s="14"/>
      <c r="O289" s="28"/>
      <c r="P289" s="66"/>
      <c r="Q289" s="64"/>
      <c r="R289" s="64"/>
      <c r="S289" s="2"/>
      <c r="T289" s="2"/>
    </row>
    <row r="290" spans="2:20" x14ac:dyDescent="0.25">
      <c r="B290" s="14"/>
      <c r="C290" s="22"/>
      <c r="D290" s="14"/>
      <c r="E290" s="35"/>
      <c r="F290" s="14"/>
      <c r="G290" s="28"/>
      <c r="H290" s="14"/>
      <c r="I290" s="28"/>
      <c r="J290" s="14"/>
      <c r="K290" s="28"/>
      <c r="L290" s="14"/>
      <c r="M290" s="35"/>
      <c r="N290" s="14"/>
      <c r="O290" s="20"/>
      <c r="P290" s="66"/>
      <c r="Q290" s="64"/>
      <c r="R290" s="64"/>
      <c r="S290" s="2"/>
      <c r="T290" s="2"/>
    </row>
    <row r="291" spans="2:20" x14ac:dyDescent="0.25">
      <c r="B291" s="14"/>
      <c r="C291" s="20"/>
      <c r="D291" s="14"/>
      <c r="E291" s="20"/>
      <c r="F291" s="14"/>
      <c r="G291" s="20"/>
      <c r="H291" s="14"/>
      <c r="I291" s="20"/>
      <c r="J291" s="14"/>
      <c r="K291" s="20"/>
      <c r="L291" s="14"/>
      <c r="M291" s="20"/>
      <c r="N291" s="14"/>
      <c r="O291" s="20"/>
      <c r="P291" s="66"/>
      <c r="Q291" s="64"/>
      <c r="R291" s="64"/>
      <c r="S291" s="2"/>
      <c r="T291" s="2"/>
    </row>
    <row r="292" spans="2:20" x14ac:dyDescent="0.25">
      <c r="B292" s="14"/>
      <c r="C292" s="12"/>
      <c r="D292" s="14"/>
      <c r="E292" s="12"/>
      <c r="F292" s="14"/>
      <c r="G292" s="12"/>
      <c r="H292" s="14"/>
      <c r="I292" s="12"/>
      <c r="J292" s="14"/>
      <c r="K292" s="12"/>
      <c r="L292" s="23">
        <v>45</v>
      </c>
      <c r="M292" s="12"/>
      <c r="N292" s="23">
        <v>45</v>
      </c>
      <c r="O292" s="12"/>
      <c r="P292" s="66"/>
      <c r="Q292" s="64"/>
      <c r="R292" s="64"/>
      <c r="S292" s="2"/>
      <c r="T292" s="2"/>
    </row>
    <row r="293" spans="2:20" x14ac:dyDescent="0.25">
      <c r="B293" s="19"/>
      <c r="C293" s="12"/>
      <c r="D293" s="19"/>
      <c r="E293" s="12"/>
      <c r="F293" s="19"/>
      <c r="G293" s="12"/>
      <c r="H293" s="19"/>
      <c r="I293" s="12"/>
      <c r="J293" s="19"/>
      <c r="K293" s="12"/>
      <c r="L293" s="19"/>
      <c r="M293" s="12"/>
      <c r="N293" s="19"/>
      <c r="O293" s="12"/>
      <c r="P293" s="66"/>
      <c r="Q293" s="64"/>
      <c r="R293" s="64"/>
      <c r="S293" s="2"/>
      <c r="T293" s="2"/>
    </row>
    <row r="294" spans="2:20" x14ac:dyDescent="0.25">
      <c r="B294" s="24" t="s">
        <v>13</v>
      </c>
      <c r="C294" s="12"/>
      <c r="D294" s="24" t="s">
        <v>13</v>
      </c>
      <c r="E294" s="12"/>
      <c r="F294" s="24" t="s">
        <v>13</v>
      </c>
      <c r="G294" s="12"/>
      <c r="H294" s="24" t="s">
        <v>13</v>
      </c>
      <c r="I294" s="12"/>
      <c r="J294" s="24" t="s">
        <v>13</v>
      </c>
      <c r="K294" s="12"/>
      <c r="L294" s="24" t="s">
        <v>13</v>
      </c>
      <c r="M294" s="12"/>
      <c r="N294" s="24" t="s">
        <v>13</v>
      </c>
      <c r="O294" s="12"/>
      <c r="P294" s="66" t="s">
        <v>67</v>
      </c>
      <c r="Q294" s="64"/>
      <c r="R294" s="64"/>
      <c r="S294" s="2"/>
      <c r="T294" s="2"/>
    </row>
    <row r="295" spans="2:20" ht="15.75" thickBot="1" x14ac:dyDescent="0.3">
      <c r="B295" s="25">
        <f>SUM(B278:B286)+B292</f>
        <v>885</v>
      </c>
      <c r="C295" s="26"/>
      <c r="D295" s="25">
        <f>SUM(D278:D287)+D292</f>
        <v>950</v>
      </c>
      <c r="E295" s="26"/>
      <c r="F295" s="25">
        <f>SUM(F278:F287)+F292</f>
        <v>900</v>
      </c>
      <c r="G295" s="26"/>
      <c r="H295" s="25">
        <f>SUM(H278:H285)+H292</f>
        <v>820</v>
      </c>
      <c r="I295" s="26"/>
      <c r="J295" s="25">
        <f>SUM(J278:J285)+J292</f>
        <v>880</v>
      </c>
      <c r="K295" s="26"/>
      <c r="L295" s="25">
        <f>SUM(L278:L287)+L292</f>
        <v>735</v>
      </c>
      <c r="M295" s="26"/>
      <c r="N295" s="25">
        <f>SUM(N278:N287)+N292</f>
        <v>845</v>
      </c>
      <c r="O295" s="26"/>
      <c r="P295" s="67">
        <f>SUM(B295:O295)/7</f>
        <v>859.28571428571433</v>
      </c>
      <c r="Q295" s="64"/>
      <c r="R295" s="64"/>
      <c r="S295" s="2"/>
      <c r="T295" s="2"/>
    </row>
    <row r="296" spans="2:20" ht="15.75" thickBot="1" x14ac:dyDescent="0.3"/>
    <row r="297" spans="2:20" x14ac:dyDescent="0.25">
      <c r="B297" s="73">
        <v>45965</v>
      </c>
      <c r="C297" s="74"/>
      <c r="D297" s="73">
        <v>45966</v>
      </c>
      <c r="E297" s="74"/>
      <c r="F297" s="73">
        <v>45967</v>
      </c>
      <c r="G297" s="74"/>
      <c r="H297" s="73">
        <v>45968</v>
      </c>
      <c r="I297" s="74"/>
      <c r="J297" s="73">
        <v>45969</v>
      </c>
      <c r="K297" s="74"/>
      <c r="L297" s="73">
        <v>45970</v>
      </c>
      <c r="M297" s="74"/>
      <c r="N297" s="73">
        <v>45971</v>
      </c>
      <c r="O297" s="74"/>
      <c r="P297" s="66"/>
      <c r="Q297" s="64"/>
      <c r="R297" s="64"/>
      <c r="S297" s="2"/>
      <c r="T297" s="2"/>
    </row>
    <row r="298" spans="2:20" x14ac:dyDescent="0.25">
      <c r="B298" s="3" t="s">
        <v>11</v>
      </c>
      <c r="C298" s="4" t="s">
        <v>12</v>
      </c>
      <c r="D298" s="3" t="s">
        <v>11</v>
      </c>
      <c r="E298" s="4" t="s">
        <v>12</v>
      </c>
      <c r="F298" s="3" t="s">
        <v>11</v>
      </c>
      <c r="G298" s="4" t="s">
        <v>12</v>
      </c>
      <c r="H298" s="3" t="s">
        <v>11</v>
      </c>
      <c r="I298" s="4" t="s">
        <v>12</v>
      </c>
      <c r="J298" s="3" t="s">
        <v>11</v>
      </c>
      <c r="K298" s="4" t="s">
        <v>12</v>
      </c>
      <c r="L298" s="3" t="s">
        <v>11</v>
      </c>
      <c r="M298" s="4" t="s">
        <v>12</v>
      </c>
      <c r="N298" s="3" t="s">
        <v>11</v>
      </c>
      <c r="O298" s="4" t="s">
        <v>12</v>
      </c>
      <c r="P298" s="66"/>
      <c r="Q298" s="64"/>
      <c r="R298" s="64"/>
      <c r="S298" s="2"/>
      <c r="T298" s="2"/>
    </row>
    <row r="299" spans="2:20" x14ac:dyDescent="0.25">
      <c r="B299" s="47">
        <v>150</v>
      </c>
      <c r="C299" s="28">
        <v>7.2916666666666671E-2</v>
      </c>
      <c r="D299" s="47">
        <v>120</v>
      </c>
      <c r="E299" s="28">
        <v>5.2083333333333336E-2</v>
      </c>
      <c r="F299" s="29">
        <v>150</v>
      </c>
      <c r="G299" s="28">
        <v>7.2916666666666671E-2</v>
      </c>
      <c r="H299" s="29">
        <v>150</v>
      </c>
      <c r="I299" s="28">
        <v>7.2916666666666671E-2</v>
      </c>
      <c r="J299" s="59">
        <v>150</v>
      </c>
      <c r="K299" s="60">
        <v>5.2083333333333336E-2</v>
      </c>
      <c r="L299" s="47">
        <v>130</v>
      </c>
      <c r="M299" s="36">
        <v>2.0833333333333332E-2</v>
      </c>
      <c r="N299" s="29">
        <v>150</v>
      </c>
      <c r="O299" s="28">
        <v>0.51041666666666663</v>
      </c>
      <c r="P299" s="66"/>
      <c r="Q299" s="64"/>
      <c r="R299" s="64"/>
      <c r="S299" s="2"/>
      <c r="T299" s="2"/>
    </row>
    <row r="300" spans="2:20" x14ac:dyDescent="0.25">
      <c r="B300" s="47">
        <v>150</v>
      </c>
      <c r="C300" s="28">
        <v>0.20833333333333334</v>
      </c>
      <c r="D300" s="47">
        <v>100</v>
      </c>
      <c r="E300" s="28">
        <v>0.16666666666666666</v>
      </c>
      <c r="F300" s="29">
        <v>130</v>
      </c>
      <c r="G300" s="28">
        <v>0.15625</v>
      </c>
      <c r="H300" s="29">
        <v>30</v>
      </c>
      <c r="I300" s="28">
        <v>0.17708333333333334</v>
      </c>
      <c r="J300" s="59">
        <v>150</v>
      </c>
      <c r="K300" s="60">
        <v>0.22916666666666666</v>
      </c>
      <c r="L300" s="47">
        <v>150</v>
      </c>
      <c r="M300" s="36">
        <v>0.125</v>
      </c>
      <c r="N300" s="29">
        <v>150</v>
      </c>
      <c r="O300" s="28">
        <v>0.16666666666666666</v>
      </c>
      <c r="P300" s="66"/>
      <c r="Q300" s="64"/>
      <c r="R300" s="64"/>
      <c r="S300" s="2"/>
      <c r="T300" s="2"/>
    </row>
    <row r="301" spans="2:20" x14ac:dyDescent="0.25">
      <c r="B301" s="47">
        <v>140</v>
      </c>
      <c r="C301" s="28">
        <v>0.30208333333333331</v>
      </c>
      <c r="D301" s="47">
        <v>150</v>
      </c>
      <c r="E301" s="28">
        <v>0.27083333333333331</v>
      </c>
      <c r="F301" s="29">
        <v>150</v>
      </c>
      <c r="G301" s="28">
        <v>0.27083333333333331</v>
      </c>
      <c r="H301" s="29">
        <v>130</v>
      </c>
      <c r="I301" s="28">
        <v>0.26041666666666669</v>
      </c>
      <c r="J301" s="59">
        <v>130</v>
      </c>
      <c r="K301" s="60">
        <v>0.36458333333333331</v>
      </c>
      <c r="L301" s="48">
        <v>50</v>
      </c>
      <c r="M301" s="36">
        <v>0.21875</v>
      </c>
      <c r="N301" s="38">
        <v>150</v>
      </c>
      <c r="O301" s="28">
        <v>0.33333333333333331</v>
      </c>
      <c r="P301" s="66"/>
      <c r="Q301" s="64"/>
      <c r="R301" s="64"/>
      <c r="S301" s="2"/>
      <c r="T301" s="2"/>
    </row>
    <row r="302" spans="2:20" x14ac:dyDescent="0.25">
      <c r="B302" s="48">
        <v>110</v>
      </c>
      <c r="C302" s="28">
        <v>0.41666666666666669</v>
      </c>
      <c r="D302" s="48">
        <v>30</v>
      </c>
      <c r="E302" s="28">
        <v>0.35416666666666669</v>
      </c>
      <c r="F302" s="38">
        <v>120</v>
      </c>
      <c r="G302" s="28">
        <v>0.39583333333333331</v>
      </c>
      <c r="H302" s="38">
        <v>150</v>
      </c>
      <c r="I302" s="28">
        <v>0.35416666666666669</v>
      </c>
      <c r="J302" s="61">
        <v>90</v>
      </c>
      <c r="K302" s="60">
        <v>0.52083333333333337</v>
      </c>
      <c r="L302" s="48">
        <v>100</v>
      </c>
      <c r="M302" s="36">
        <v>0.29166666666666669</v>
      </c>
      <c r="N302" s="38">
        <v>30</v>
      </c>
      <c r="O302" s="28">
        <v>0.45833333333333331</v>
      </c>
      <c r="P302" s="66"/>
      <c r="Q302" s="71" t="s">
        <v>78</v>
      </c>
      <c r="R302" s="71"/>
      <c r="S302" s="53"/>
      <c r="T302" s="53"/>
    </row>
    <row r="303" spans="2:20" x14ac:dyDescent="0.25">
      <c r="B303" s="48">
        <v>120</v>
      </c>
      <c r="C303" s="28">
        <v>0.54166666666666663</v>
      </c>
      <c r="D303" s="48">
        <v>120</v>
      </c>
      <c r="E303" s="28">
        <v>0.51041666666666663</v>
      </c>
      <c r="F303" s="38">
        <v>120</v>
      </c>
      <c r="G303" s="28">
        <v>0.67708333333333337</v>
      </c>
      <c r="H303" s="38">
        <v>150</v>
      </c>
      <c r="I303" s="28">
        <v>0.54166666666666663</v>
      </c>
      <c r="J303" s="61">
        <v>30</v>
      </c>
      <c r="K303" s="60">
        <v>0.64583333333333337</v>
      </c>
      <c r="L303" s="48">
        <v>100</v>
      </c>
      <c r="M303" s="36">
        <v>0.42708333333333331</v>
      </c>
      <c r="N303" s="38">
        <v>90</v>
      </c>
      <c r="O303" s="28">
        <v>0.51041666666666663</v>
      </c>
      <c r="P303" s="66"/>
      <c r="Q303" s="78" t="s">
        <v>82</v>
      </c>
      <c r="R303" s="78"/>
      <c r="S303" s="53"/>
      <c r="T303" s="53"/>
    </row>
    <row r="304" spans="2:20" x14ac:dyDescent="0.25">
      <c r="B304" s="48">
        <v>120</v>
      </c>
      <c r="C304" s="28">
        <v>0.66666666666666663</v>
      </c>
      <c r="D304" s="48">
        <v>40</v>
      </c>
      <c r="E304" s="28">
        <v>0.85416666666666663</v>
      </c>
      <c r="F304" s="38">
        <v>150</v>
      </c>
      <c r="G304" s="28">
        <v>0.75</v>
      </c>
      <c r="H304" s="38">
        <v>120</v>
      </c>
      <c r="I304" s="28">
        <v>0.72916666666666663</v>
      </c>
      <c r="J304" s="61">
        <v>120</v>
      </c>
      <c r="K304" s="60">
        <v>0.71875</v>
      </c>
      <c r="L304" s="48">
        <v>120</v>
      </c>
      <c r="M304" s="36">
        <v>0.61111111111111116</v>
      </c>
      <c r="N304" s="38">
        <v>120</v>
      </c>
      <c r="O304" s="28">
        <v>0.64583333333333337</v>
      </c>
      <c r="P304" s="66"/>
      <c r="Q304" s="75" t="s">
        <v>83</v>
      </c>
      <c r="R304" s="75"/>
      <c r="S304" s="53"/>
      <c r="T304" s="53"/>
    </row>
    <row r="305" spans="2:20" x14ac:dyDescent="0.25">
      <c r="B305" s="47">
        <v>150</v>
      </c>
      <c r="C305" s="28">
        <v>0.90625</v>
      </c>
      <c r="D305" s="47">
        <v>150</v>
      </c>
      <c r="E305" s="28">
        <v>0.90625</v>
      </c>
      <c r="F305" s="29">
        <v>150</v>
      </c>
      <c r="G305" s="28">
        <v>0.92708333333333337</v>
      </c>
      <c r="H305" s="29">
        <v>120</v>
      </c>
      <c r="I305" s="28">
        <v>0.9375</v>
      </c>
      <c r="J305" s="59">
        <v>60</v>
      </c>
      <c r="K305" s="60">
        <v>0.875</v>
      </c>
      <c r="L305" s="47">
        <v>60</v>
      </c>
      <c r="M305" s="36">
        <v>0.79166666666666663</v>
      </c>
      <c r="N305" s="38">
        <v>30</v>
      </c>
      <c r="O305" s="28">
        <v>0.78125</v>
      </c>
      <c r="P305" s="66"/>
      <c r="Q305" s="76" t="s">
        <v>84</v>
      </c>
      <c r="R305" s="76"/>
      <c r="S305" s="76"/>
      <c r="T305" s="76"/>
    </row>
    <row r="306" spans="2:20" x14ac:dyDescent="0.25">
      <c r="B306" s="14"/>
      <c r="C306" s="28"/>
      <c r="D306" s="14"/>
      <c r="E306" s="28"/>
      <c r="F306" s="40"/>
      <c r="G306" s="28"/>
      <c r="H306" s="40"/>
      <c r="I306" s="28"/>
      <c r="J306" s="40"/>
      <c r="K306" s="28"/>
      <c r="L306" s="62">
        <v>120</v>
      </c>
      <c r="M306" s="36">
        <v>0.85416666666666663</v>
      </c>
      <c r="N306" s="29">
        <v>90</v>
      </c>
      <c r="O306" s="28">
        <v>0.83333333333333337</v>
      </c>
      <c r="P306" s="66"/>
      <c r="Q306" s="64"/>
      <c r="R306" s="64"/>
      <c r="S306" s="53"/>
      <c r="T306" s="53"/>
    </row>
    <row r="307" spans="2:20" x14ac:dyDescent="0.25">
      <c r="B307" s="14"/>
      <c r="C307" s="28"/>
      <c r="D307" s="14"/>
      <c r="E307" s="28"/>
      <c r="F307" s="40"/>
      <c r="G307" s="28"/>
      <c r="H307" s="40"/>
      <c r="I307" s="28"/>
      <c r="J307" s="40"/>
      <c r="K307" s="28"/>
      <c r="L307" s="40"/>
      <c r="N307" s="29">
        <v>120</v>
      </c>
      <c r="O307" s="28">
        <v>0.92708333333333337</v>
      </c>
      <c r="P307" s="66"/>
      <c r="Q307" s="64"/>
      <c r="R307" s="64"/>
      <c r="S307" s="2"/>
      <c r="T307" s="2"/>
    </row>
    <row r="308" spans="2:20" x14ac:dyDescent="0.25">
      <c r="B308" s="14"/>
      <c r="C308" s="28"/>
      <c r="D308" s="14"/>
      <c r="E308" s="28"/>
      <c r="F308" s="40"/>
      <c r="G308" s="28"/>
      <c r="H308" s="40"/>
      <c r="I308" s="28"/>
      <c r="J308" s="40"/>
      <c r="K308" s="28"/>
      <c r="L308" s="40"/>
      <c r="M308" s="28"/>
      <c r="N308" s="14"/>
      <c r="O308" s="28"/>
      <c r="P308" s="66"/>
      <c r="Q308" s="64"/>
      <c r="R308" s="64"/>
      <c r="S308" s="2"/>
      <c r="T308" s="2"/>
    </row>
    <row r="309" spans="2:20" x14ac:dyDescent="0.25">
      <c r="B309" s="14"/>
      <c r="C309" s="52"/>
      <c r="D309" s="14"/>
      <c r="E309" s="46"/>
      <c r="F309" s="40"/>
      <c r="G309" s="28"/>
      <c r="H309" s="40"/>
      <c r="I309" s="28"/>
      <c r="J309" s="50" t="s">
        <v>85</v>
      </c>
      <c r="K309" s="46" t="s">
        <v>38</v>
      </c>
      <c r="L309" s="50" t="s">
        <v>85</v>
      </c>
      <c r="M309" s="46" t="s">
        <v>38</v>
      </c>
      <c r="N309" s="50" t="s">
        <v>85</v>
      </c>
      <c r="O309" s="46" t="s">
        <v>63</v>
      </c>
      <c r="P309" s="66"/>
      <c r="Q309" s="64"/>
      <c r="R309" s="64"/>
      <c r="S309" s="2"/>
      <c r="T309" s="2"/>
    </row>
    <row r="310" spans="2:20" x14ac:dyDescent="0.25">
      <c r="B310" s="14"/>
      <c r="C310" s="22"/>
      <c r="D310" s="14"/>
      <c r="E310" s="35"/>
      <c r="F310" s="14"/>
      <c r="G310" s="28"/>
      <c r="H310" s="14"/>
      <c r="I310" s="28"/>
      <c r="J310" s="14"/>
      <c r="K310" s="28"/>
      <c r="L310" s="14"/>
      <c r="M310" s="35"/>
      <c r="N310" s="14"/>
      <c r="O310" s="28"/>
      <c r="P310" s="66"/>
      <c r="Q310" s="64"/>
      <c r="R310" s="64"/>
      <c r="S310" s="2"/>
      <c r="T310" s="2"/>
    </row>
    <row r="311" spans="2:20" x14ac:dyDescent="0.25">
      <c r="B311" s="14"/>
      <c r="C311" s="22"/>
      <c r="D311" s="14"/>
      <c r="E311" s="35"/>
      <c r="F311" s="14"/>
      <c r="G311" s="28"/>
      <c r="H311" s="14"/>
      <c r="I311" s="28"/>
      <c r="J311" s="14"/>
      <c r="K311" s="28"/>
      <c r="L311" s="14"/>
      <c r="M311" s="35"/>
      <c r="N311" s="14"/>
      <c r="O311" s="20"/>
      <c r="P311" s="66"/>
      <c r="Q311" s="64"/>
      <c r="R311" s="64"/>
      <c r="S311" s="2"/>
      <c r="T311" s="2"/>
    </row>
    <row r="312" spans="2:20" x14ac:dyDescent="0.25">
      <c r="B312" s="14"/>
      <c r="C312" s="20"/>
      <c r="D312" s="14"/>
      <c r="E312" s="20"/>
      <c r="F312" s="14"/>
      <c r="G312" s="20"/>
      <c r="H312" s="14"/>
      <c r="I312" s="20"/>
      <c r="J312" s="14"/>
      <c r="K312" s="20"/>
      <c r="L312" s="14"/>
      <c r="M312" s="20"/>
      <c r="N312" s="14"/>
      <c r="O312" s="20"/>
      <c r="P312" s="66"/>
      <c r="Q312" s="64"/>
      <c r="R312" s="64"/>
      <c r="S312" s="2"/>
      <c r="T312" s="2"/>
    </row>
    <row r="313" spans="2:20" x14ac:dyDescent="0.25">
      <c r="B313" s="14"/>
      <c r="C313" s="12"/>
      <c r="D313" s="14"/>
      <c r="E313" s="12"/>
      <c r="F313" s="14"/>
      <c r="G313" s="12"/>
      <c r="H313" s="14"/>
      <c r="I313" s="12"/>
      <c r="J313" s="23">
        <v>45</v>
      </c>
      <c r="K313" s="12"/>
      <c r="L313" s="23">
        <v>45</v>
      </c>
      <c r="M313" s="12"/>
      <c r="N313" s="23">
        <v>45</v>
      </c>
      <c r="O313" s="12"/>
      <c r="P313" s="66"/>
      <c r="Q313" s="64"/>
      <c r="R313" s="64"/>
      <c r="S313" s="2"/>
      <c r="T313" s="2"/>
    </row>
    <row r="314" spans="2:20" x14ac:dyDescent="0.25">
      <c r="B314" s="19"/>
      <c r="C314" s="12"/>
      <c r="D314" s="19"/>
      <c r="E314" s="12"/>
      <c r="F314" s="19"/>
      <c r="G314" s="12"/>
      <c r="H314" s="19"/>
      <c r="I314" s="12"/>
      <c r="J314" s="19"/>
      <c r="K314" s="12"/>
      <c r="L314" s="19"/>
      <c r="M314" s="12"/>
      <c r="N314" s="19"/>
      <c r="O314" s="12"/>
      <c r="P314" s="66"/>
      <c r="Q314" s="64"/>
      <c r="R314" s="64"/>
      <c r="S314" s="2"/>
      <c r="T314" s="2"/>
    </row>
    <row r="315" spans="2:20" x14ac:dyDescent="0.25">
      <c r="B315" s="24" t="s">
        <v>13</v>
      </c>
      <c r="C315" s="12"/>
      <c r="D315" s="24" t="s">
        <v>13</v>
      </c>
      <c r="E315" s="12"/>
      <c r="F315" s="24" t="s">
        <v>13</v>
      </c>
      <c r="G315" s="12"/>
      <c r="H315" s="24" t="s">
        <v>13</v>
      </c>
      <c r="I315" s="12"/>
      <c r="J315" s="24" t="s">
        <v>13</v>
      </c>
      <c r="K315" s="12"/>
      <c r="L315" s="24" t="s">
        <v>13</v>
      </c>
      <c r="M315" s="12"/>
      <c r="N315" s="24" t="s">
        <v>13</v>
      </c>
      <c r="O315" s="12"/>
      <c r="P315" s="66" t="s">
        <v>67</v>
      </c>
      <c r="Q315" s="64"/>
      <c r="R315" s="64"/>
      <c r="S315" s="2"/>
      <c r="T315" s="2"/>
    </row>
    <row r="316" spans="2:20" ht="15.75" thickBot="1" x14ac:dyDescent="0.3">
      <c r="B316" s="25">
        <f>SUM(B299:B307)+B313</f>
        <v>940</v>
      </c>
      <c r="C316" s="26"/>
      <c r="D316" s="25">
        <f>SUM(D299:D308)+D313</f>
        <v>710</v>
      </c>
      <c r="E316" s="26"/>
      <c r="F316" s="25">
        <f>SUM(F299:F308)+F313</f>
        <v>970</v>
      </c>
      <c r="G316" s="26"/>
      <c r="H316" s="25">
        <f>SUM(H299:H306)+H313</f>
        <v>850</v>
      </c>
      <c r="I316" s="26"/>
      <c r="J316" s="25">
        <f>SUM(J299:J306)+J313</f>
        <v>775</v>
      </c>
      <c r="K316" s="26"/>
      <c r="L316" s="25">
        <f>SUM(L299:L308)+L313</f>
        <v>875</v>
      </c>
      <c r="M316" s="26"/>
      <c r="N316" s="25">
        <f>SUM(N299:N308)+N313</f>
        <v>975</v>
      </c>
      <c r="O316" s="26"/>
      <c r="P316" s="67">
        <f>SUM(B316:O316)/7</f>
        <v>870.71428571428567</v>
      </c>
      <c r="Q316" s="64"/>
      <c r="R316" s="64"/>
      <c r="S316" s="2"/>
      <c r="T316" s="2"/>
    </row>
    <row r="317" spans="2:20" ht="15.75" thickBot="1" x14ac:dyDescent="0.3"/>
    <row r="318" spans="2:20" x14ac:dyDescent="0.25">
      <c r="B318" s="73">
        <v>45972</v>
      </c>
      <c r="C318" s="74"/>
      <c r="D318" s="73">
        <v>45973</v>
      </c>
      <c r="E318" s="74"/>
      <c r="F318" s="73">
        <v>45974</v>
      </c>
      <c r="G318" s="74"/>
      <c r="H318" s="73">
        <v>45975</v>
      </c>
      <c r="I318" s="74"/>
      <c r="J318" s="73">
        <v>45976</v>
      </c>
      <c r="K318" s="74"/>
      <c r="L318" s="73">
        <v>45977</v>
      </c>
      <c r="M318" s="74"/>
      <c r="N318" s="73">
        <v>45978</v>
      </c>
      <c r="O318" s="74"/>
      <c r="P318" s="66"/>
      <c r="Q318" s="64"/>
      <c r="R318" s="64"/>
      <c r="S318" s="2"/>
      <c r="T318" s="2"/>
    </row>
    <row r="319" spans="2:20" x14ac:dyDescent="0.25">
      <c r="B319" s="3" t="s">
        <v>11</v>
      </c>
      <c r="C319" s="4" t="s">
        <v>12</v>
      </c>
      <c r="D319" s="3" t="s">
        <v>11</v>
      </c>
      <c r="E319" s="4" t="s">
        <v>12</v>
      </c>
      <c r="F319" s="3" t="s">
        <v>11</v>
      </c>
      <c r="G319" s="4" t="s">
        <v>12</v>
      </c>
      <c r="H319" s="3" t="s">
        <v>11</v>
      </c>
      <c r="I319" s="4" t="s">
        <v>12</v>
      </c>
      <c r="J319" s="3" t="s">
        <v>11</v>
      </c>
      <c r="K319" s="4" t="s">
        <v>12</v>
      </c>
      <c r="L319" s="3" t="s">
        <v>11</v>
      </c>
      <c r="M319" s="4" t="s">
        <v>12</v>
      </c>
      <c r="N319" s="3" t="s">
        <v>11</v>
      </c>
      <c r="O319" s="4" t="s">
        <v>12</v>
      </c>
      <c r="P319" s="66"/>
      <c r="Q319" s="64"/>
      <c r="R319" s="64"/>
      <c r="S319" s="2"/>
      <c r="T319" s="2"/>
    </row>
    <row r="320" spans="2:20" x14ac:dyDescent="0.25">
      <c r="B320" s="29">
        <v>150</v>
      </c>
      <c r="C320" s="28">
        <v>6.25E-2</v>
      </c>
      <c r="D320" s="47">
        <v>150</v>
      </c>
      <c r="E320" s="28">
        <v>0.11458333333333333</v>
      </c>
      <c r="F320" s="29">
        <v>150</v>
      </c>
      <c r="G320" s="28">
        <v>0.17708333333333334</v>
      </c>
      <c r="H320" s="29">
        <v>150</v>
      </c>
      <c r="I320" s="28">
        <v>6.25E-2</v>
      </c>
      <c r="J320" s="59">
        <v>140</v>
      </c>
      <c r="K320" s="60">
        <v>5.2083333333333336E-2</v>
      </c>
      <c r="L320" s="29">
        <v>60</v>
      </c>
      <c r="M320" s="36">
        <v>8.3333333333333329E-2</v>
      </c>
      <c r="N320" s="29">
        <v>150</v>
      </c>
      <c r="O320" s="28">
        <v>6.25E-2</v>
      </c>
      <c r="P320" s="66"/>
      <c r="Q320" s="64"/>
      <c r="R320" s="64"/>
      <c r="S320" s="2"/>
      <c r="T320" s="2"/>
    </row>
    <row r="321" spans="2:20" x14ac:dyDescent="0.25">
      <c r="B321" s="29">
        <v>100</v>
      </c>
      <c r="C321" s="28">
        <v>0.1875</v>
      </c>
      <c r="D321" s="47">
        <v>150</v>
      </c>
      <c r="E321" s="28">
        <v>0.21875</v>
      </c>
      <c r="F321" s="29">
        <v>150</v>
      </c>
      <c r="G321" s="28">
        <v>0.33333333333333331</v>
      </c>
      <c r="H321" s="29">
        <v>150</v>
      </c>
      <c r="I321" s="28">
        <v>0.19791666666666666</v>
      </c>
      <c r="J321" s="59">
        <v>150</v>
      </c>
      <c r="K321" s="60">
        <v>0.20833333333333334</v>
      </c>
      <c r="L321" s="29">
        <v>150</v>
      </c>
      <c r="M321" s="36">
        <v>0.17708333333333334</v>
      </c>
      <c r="N321" s="29">
        <v>120</v>
      </c>
      <c r="O321" s="28">
        <v>0.19791666666666666</v>
      </c>
      <c r="P321" s="66"/>
      <c r="Q321" s="64"/>
      <c r="R321" s="64"/>
      <c r="S321" s="2"/>
      <c r="T321" s="2"/>
    </row>
    <row r="322" spans="2:20" x14ac:dyDescent="0.25">
      <c r="B322" s="29">
        <v>150</v>
      </c>
      <c r="C322" s="28">
        <v>0.29166666666666669</v>
      </c>
      <c r="D322" s="47">
        <v>70</v>
      </c>
      <c r="E322" s="28">
        <v>0.35416666666666669</v>
      </c>
      <c r="F322" s="29">
        <v>100</v>
      </c>
      <c r="G322" s="28">
        <v>0.41666666666666669</v>
      </c>
      <c r="H322" s="29">
        <v>120</v>
      </c>
      <c r="I322" s="28">
        <v>0.39583333333333331</v>
      </c>
      <c r="J322" s="59">
        <v>60</v>
      </c>
      <c r="K322" s="60">
        <v>0.32291666666666669</v>
      </c>
      <c r="L322" s="29">
        <v>150</v>
      </c>
      <c r="M322" s="36">
        <v>0.33333333333333331</v>
      </c>
      <c r="N322" s="29">
        <v>150</v>
      </c>
      <c r="O322" s="28">
        <v>0.33333333333333331</v>
      </c>
      <c r="P322" s="66"/>
      <c r="Q322" s="64"/>
      <c r="R322" s="64"/>
      <c r="S322" s="2"/>
      <c r="T322" s="2"/>
    </row>
    <row r="323" spans="2:20" x14ac:dyDescent="0.25">
      <c r="B323" s="38">
        <v>90</v>
      </c>
      <c r="C323" s="28">
        <v>0.40625</v>
      </c>
      <c r="D323" s="48">
        <v>90</v>
      </c>
      <c r="E323" s="28">
        <v>0.41666666666666669</v>
      </c>
      <c r="F323" s="38">
        <v>70</v>
      </c>
      <c r="G323" s="28">
        <v>0.57291666666666663</v>
      </c>
      <c r="H323" s="29">
        <v>120</v>
      </c>
      <c r="I323" s="28">
        <v>0.48958333333333331</v>
      </c>
      <c r="J323" s="59">
        <v>120</v>
      </c>
      <c r="K323" s="60">
        <v>0.38541666666666669</v>
      </c>
      <c r="L323" s="29">
        <v>120</v>
      </c>
      <c r="M323" s="36">
        <v>0.60416666666666663</v>
      </c>
      <c r="N323" s="29">
        <v>60</v>
      </c>
      <c r="O323" s="28">
        <v>0.4375</v>
      </c>
      <c r="P323" s="66"/>
      <c r="Q323" s="71" t="s">
        <v>78</v>
      </c>
      <c r="R323" s="71"/>
      <c r="S323" s="53"/>
      <c r="T323" s="53"/>
    </row>
    <row r="324" spans="2:20" x14ac:dyDescent="0.25">
      <c r="B324" s="38">
        <v>120</v>
      </c>
      <c r="C324" s="28">
        <v>0.55208333333333337</v>
      </c>
      <c r="D324" s="48">
        <v>120</v>
      </c>
      <c r="E324" s="28">
        <v>0.5625</v>
      </c>
      <c r="F324" s="38">
        <v>60</v>
      </c>
      <c r="G324" s="28">
        <v>0.82291666666666663</v>
      </c>
      <c r="H324" s="29">
        <v>150</v>
      </c>
      <c r="I324" s="28">
        <v>0.6875</v>
      </c>
      <c r="J324" s="59">
        <v>120</v>
      </c>
      <c r="K324" s="60">
        <v>0.60416666666666663</v>
      </c>
      <c r="L324" s="29">
        <v>150</v>
      </c>
      <c r="M324" s="36">
        <v>0.73958333333333337</v>
      </c>
      <c r="N324" s="29">
        <v>120</v>
      </c>
      <c r="O324" s="28">
        <v>0.58333333333333337</v>
      </c>
      <c r="P324" s="66"/>
      <c r="Q324" s="78" t="s">
        <v>82</v>
      </c>
      <c r="R324" s="78"/>
      <c r="S324" s="53"/>
      <c r="T324" s="53"/>
    </row>
    <row r="325" spans="2:20" x14ac:dyDescent="0.25">
      <c r="B325" s="38">
        <v>100</v>
      </c>
      <c r="C325" s="28">
        <v>0.69791666666666663</v>
      </c>
      <c r="D325" s="48">
        <v>70</v>
      </c>
      <c r="E325" s="28">
        <v>0.69791666666666663</v>
      </c>
      <c r="F325" s="29">
        <v>120</v>
      </c>
      <c r="G325" s="28">
        <v>0.9375</v>
      </c>
      <c r="H325" s="29">
        <v>30</v>
      </c>
      <c r="I325" s="28">
        <v>0.78125</v>
      </c>
      <c r="J325" s="59">
        <v>120</v>
      </c>
      <c r="K325" s="60">
        <v>0.72916666666666663</v>
      </c>
      <c r="L325" s="29">
        <v>150</v>
      </c>
      <c r="M325" s="36">
        <v>0.89583333333333337</v>
      </c>
      <c r="N325" s="29">
        <v>150</v>
      </c>
      <c r="O325" s="28">
        <v>0.75</v>
      </c>
      <c r="P325" s="66"/>
      <c r="Q325" s="64"/>
      <c r="R325" s="64"/>
      <c r="S325" s="53"/>
      <c r="T325" s="53"/>
    </row>
    <row r="326" spans="2:20" x14ac:dyDescent="0.25">
      <c r="B326" s="38">
        <v>30</v>
      </c>
      <c r="C326" s="28">
        <v>0.8125</v>
      </c>
      <c r="D326" s="38">
        <v>60</v>
      </c>
      <c r="E326" s="28">
        <v>0.75</v>
      </c>
      <c r="G326" s="28"/>
      <c r="H326" s="29">
        <v>150</v>
      </c>
      <c r="I326" s="28">
        <v>0.94791666666666663</v>
      </c>
      <c r="J326" s="59">
        <v>120</v>
      </c>
      <c r="K326" s="60">
        <v>0.89583333333333337</v>
      </c>
      <c r="L326" s="14"/>
      <c r="M326" s="36"/>
      <c r="N326" s="29">
        <v>120</v>
      </c>
      <c r="O326" s="28">
        <v>0.875</v>
      </c>
      <c r="P326" s="66"/>
      <c r="Q326" s="64"/>
      <c r="R326" s="64"/>
      <c r="S326" s="2"/>
      <c r="T326" s="2"/>
    </row>
    <row r="327" spans="2:20" x14ac:dyDescent="0.25">
      <c r="B327" s="29">
        <v>130</v>
      </c>
      <c r="C327" s="28">
        <v>0.91666666666666663</v>
      </c>
      <c r="D327" s="29">
        <v>120</v>
      </c>
      <c r="E327" s="28">
        <v>0.94791666666666663</v>
      </c>
      <c r="F327" s="40"/>
      <c r="G327" s="28"/>
      <c r="H327" s="40"/>
      <c r="I327" s="28"/>
      <c r="J327" s="29">
        <v>120</v>
      </c>
      <c r="K327" s="28">
        <v>0.97916666666666663</v>
      </c>
      <c r="L327" s="14"/>
      <c r="M327" s="36"/>
      <c r="N327" s="14"/>
      <c r="O327" s="28"/>
      <c r="P327" s="66"/>
      <c r="Q327" s="64"/>
      <c r="R327" s="64"/>
      <c r="S327" s="53"/>
      <c r="T327" s="53"/>
    </row>
    <row r="328" spans="2:20" x14ac:dyDescent="0.25">
      <c r="B328" s="14"/>
      <c r="C328" s="28"/>
      <c r="D328" s="29">
        <v>60</v>
      </c>
      <c r="E328" s="28">
        <v>0.98958333333333337</v>
      </c>
      <c r="F328" s="40"/>
      <c r="G328" s="28"/>
      <c r="H328" s="40"/>
      <c r="I328" s="28"/>
      <c r="J328" s="14"/>
      <c r="K328" s="28"/>
      <c r="L328" s="14"/>
      <c r="N328" s="14"/>
      <c r="O328" s="28"/>
      <c r="P328" s="66"/>
      <c r="Q328" s="64"/>
      <c r="R328" s="64"/>
      <c r="S328" s="2"/>
      <c r="T328" s="2"/>
    </row>
    <row r="329" spans="2:20" x14ac:dyDescent="0.25">
      <c r="B329" s="14"/>
      <c r="C329" s="28"/>
      <c r="D329" s="14"/>
      <c r="E329" s="28"/>
      <c r="F329" s="40"/>
      <c r="G329" s="28"/>
      <c r="H329" s="40"/>
      <c r="I329" s="28"/>
      <c r="J329" s="14"/>
      <c r="K329" s="28"/>
      <c r="L329" s="14"/>
      <c r="M329" s="28"/>
      <c r="N329" s="14"/>
      <c r="O329" s="28"/>
      <c r="P329" s="66"/>
      <c r="Q329" s="64"/>
      <c r="R329" s="64"/>
      <c r="S329" s="2"/>
      <c r="T329" s="2"/>
    </row>
    <row r="330" spans="2:20" x14ac:dyDescent="0.25">
      <c r="B330" s="14"/>
      <c r="C330" s="52"/>
      <c r="D330" s="14"/>
      <c r="E330" s="46"/>
      <c r="F330" s="40"/>
      <c r="G330" s="28"/>
      <c r="H330" s="40"/>
      <c r="I330" s="28"/>
      <c r="J330" s="14"/>
      <c r="K330" s="46"/>
      <c r="L330" s="14"/>
      <c r="M330" s="46"/>
      <c r="N330" s="14"/>
      <c r="O330" s="46"/>
      <c r="P330" s="66"/>
      <c r="Q330" s="64"/>
      <c r="R330" s="64"/>
      <c r="S330" s="2"/>
      <c r="T330" s="2"/>
    </row>
    <row r="331" spans="2:20" x14ac:dyDescent="0.25">
      <c r="B331" s="14"/>
      <c r="C331" s="22"/>
      <c r="D331" s="14"/>
      <c r="E331" s="35"/>
      <c r="F331" s="14"/>
      <c r="G331" s="28"/>
      <c r="H331" s="14"/>
      <c r="I331" s="28"/>
      <c r="J331" s="14"/>
      <c r="K331" s="28"/>
      <c r="L331" s="14"/>
      <c r="M331" s="35"/>
      <c r="N331" s="14"/>
      <c r="O331" s="28"/>
      <c r="P331" s="66"/>
      <c r="Q331" s="64"/>
      <c r="R331" s="64"/>
      <c r="S331" s="2"/>
      <c r="T331" s="2"/>
    </row>
    <row r="332" spans="2:20" x14ac:dyDescent="0.25">
      <c r="B332" s="14"/>
      <c r="C332" s="22"/>
      <c r="D332" s="14"/>
      <c r="E332" s="35"/>
      <c r="F332" s="14"/>
      <c r="G332" s="28"/>
      <c r="H332" s="14"/>
      <c r="I332" s="28"/>
      <c r="J332" s="14"/>
      <c r="K332" s="28"/>
      <c r="L332" s="14"/>
      <c r="M332" s="35"/>
      <c r="N332" s="14"/>
      <c r="O332" s="20"/>
      <c r="P332" s="66"/>
      <c r="Q332" s="64"/>
      <c r="R332" s="64"/>
      <c r="S332" s="2"/>
      <c r="T332" s="2"/>
    </row>
    <row r="333" spans="2:20" x14ac:dyDescent="0.25">
      <c r="B333" s="14"/>
      <c r="C333" s="20"/>
      <c r="D333" s="14"/>
      <c r="E333" s="20"/>
      <c r="F333" s="14"/>
      <c r="G333" s="20"/>
      <c r="H333" s="14"/>
      <c r="I333" s="20"/>
      <c r="J333" s="14"/>
      <c r="K333" s="20"/>
      <c r="L333" s="14"/>
      <c r="M333" s="20"/>
      <c r="N333" s="14"/>
      <c r="O333" s="20"/>
      <c r="P333" s="66"/>
      <c r="Q333" s="64"/>
      <c r="R333" s="64"/>
      <c r="S333" s="2"/>
      <c r="T333" s="2"/>
    </row>
    <row r="334" spans="2:20" x14ac:dyDescent="0.25">
      <c r="B334" s="14"/>
      <c r="C334" s="12"/>
      <c r="D334" s="14"/>
      <c r="E334" s="12"/>
      <c r="F334" s="14"/>
      <c r="G334" s="12"/>
      <c r="H334" s="14"/>
      <c r="I334" s="12"/>
      <c r="J334" s="14"/>
      <c r="K334" s="12"/>
      <c r="L334" s="14"/>
      <c r="M334" s="12"/>
      <c r="N334" s="14"/>
      <c r="O334" s="12"/>
      <c r="P334" s="66"/>
      <c r="Q334" s="64"/>
      <c r="R334" s="64"/>
      <c r="S334" s="2"/>
      <c r="T334" s="2"/>
    </row>
    <row r="335" spans="2:20" x14ac:dyDescent="0.25">
      <c r="B335" s="19"/>
      <c r="C335" s="12"/>
      <c r="D335" s="19"/>
      <c r="E335" s="12"/>
      <c r="F335" s="19"/>
      <c r="G335" s="12"/>
      <c r="H335" s="19"/>
      <c r="I335" s="12"/>
      <c r="J335" s="19"/>
      <c r="K335" s="12"/>
      <c r="L335" s="19"/>
      <c r="M335" s="12"/>
      <c r="N335" s="19"/>
      <c r="O335" s="12"/>
      <c r="P335" s="66"/>
      <c r="Q335" s="64"/>
      <c r="R335" s="64"/>
      <c r="S335" s="2"/>
      <c r="T335" s="2"/>
    </row>
    <row r="336" spans="2:20" x14ac:dyDescent="0.25">
      <c r="B336" s="24" t="s">
        <v>13</v>
      </c>
      <c r="C336" s="12"/>
      <c r="D336" s="24" t="s">
        <v>13</v>
      </c>
      <c r="E336" s="12"/>
      <c r="F336" s="24" t="s">
        <v>13</v>
      </c>
      <c r="G336" s="12"/>
      <c r="H336" s="24" t="s">
        <v>13</v>
      </c>
      <c r="I336" s="12"/>
      <c r="J336" s="24" t="s">
        <v>13</v>
      </c>
      <c r="K336" s="12"/>
      <c r="L336" s="24" t="s">
        <v>13</v>
      </c>
      <c r="M336" s="12"/>
      <c r="N336" s="24" t="s">
        <v>13</v>
      </c>
      <c r="O336" s="12"/>
      <c r="P336" s="66" t="s">
        <v>67</v>
      </c>
      <c r="Q336" s="64"/>
      <c r="R336" s="64"/>
      <c r="S336" s="2"/>
      <c r="T336" s="2"/>
    </row>
    <row r="337" spans="2:20" ht="15.75" thickBot="1" x14ac:dyDescent="0.3">
      <c r="B337" s="25">
        <f>SUM(B320:B328)+B334</f>
        <v>870</v>
      </c>
      <c r="C337" s="26"/>
      <c r="D337" s="25">
        <f>SUM(D320:D329)+D334</f>
        <v>890</v>
      </c>
      <c r="E337" s="26"/>
      <c r="F337" s="25">
        <f>SUM(F320:F329)+F334</f>
        <v>650</v>
      </c>
      <c r="G337" s="26"/>
      <c r="H337" s="25">
        <f>SUM(H320:H327)+H334</f>
        <v>870</v>
      </c>
      <c r="I337" s="26"/>
      <c r="J337" s="25">
        <f>SUM(J320:J327)+J334</f>
        <v>950</v>
      </c>
      <c r="K337" s="26"/>
      <c r="L337" s="25">
        <f>SUM(L320:L329)+L334</f>
        <v>780</v>
      </c>
      <c r="M337" s="26"/>
      <c r="N337" s="25">
        <f>SUM(N320:N329)+N334</f>
        <v>870</v>
      </c>
      <c r="O337" s="26"/>
      <c r="P337" s="67">
        <f>SUM(B337:O337)/7</f>
        <v>840</v>
      </c>
      <c r="Q337" s="64"/>
      <c r="R337" s="64"/>
      <c r="S337" s="2"/>
      <c r="T337" s="2"/>
    </row>
    <row r="338" spans="2:20" ht="15.75" thickBot="1" x14ac:dyDescent="0.3"/>
    <row r="339" spans="2:20" x14ac:dyDescent="0.25">
      <c r="B339" s="73">
        <v>45979</v>
      </c>
      <c r="C339" s="74"/>
      <c r="D339" s="73">
        <v>45980</v>
      </c>
      <c r="E339" s="74"/>
      <c r="F339" s="73">
        <v>45981</v>
      </c>
      <c r="G339" s="74"/>
      <c r="H339" s="73">
        <v>45982</v>
      </c>
      <c r="I339" s="74"/>
      <c r="J339" s="73">
        <v>45983</v>
      </c>
      <c r="K339" s="74"/>
      <c r="L339" s="73">
        <v>45984</v>
      </c>
      <c r="M339" s="74"/>
      <c r="N339" s="73">
        <v>45985</v>
      </c>
      <c r="O339" s="74"/>
      <c r="P339" s="66"/>
      <c r="Q339" s="64"/>
      <c r="R339" s="64"/>
      <c r="S339" s="2"/>
      <c r="T339" s="2"/>
    </row>
    <row r="340" spans="2:20" x14ac:dyDescent="0.25">
      <c r="B340" s="3" t="s">
        <v>11</v>
      </c>
      <c r="C340" s="4" t="s">
        <v>12</v>
      </c>
      <c r="D340" s="3" t="s">
        <v>11</v>
      </c>
      <c r="E340" s="4" t="s">
        <v>12</v>
      </c>
      <c r="F340" s="3" t="s">
        <v>11</v>
      </c>
      <c r="G340" s="4" t="s">
        <v>12</v>
      </c>
      <c r="H340" s="3" t="s">
        <v>11</v>
      </c>
      <c r="I340" s="4" t="s">
        <v>12</v>
      </c>
      <c r="J340" s="3" t="s">
        <v>11</v>
      </c>
      <c r="K340" s="4" t="s">
        <v>12</v>
      </c>
      <c r="L340" s="3" t="s">
        <v>11</v>
      </c>
      <c r="M340" s="4" t="s">
        <v>12</v>
      </c>
      <c r="N340" s="3" t="s">
        <v>11</v>
      </c>
      <c r="O340" s="4" t="s">
        <v>12</v>
      </c>
      <c r="P340" s="66"/>
      <c r="Q340" s="64"/>
      <c r="R340" s="64"/>
      <c r="S340" s="2"/>
      <c r="T340" s="2"/>
    </row>
    <row r="341" spans="2:20" x14ac:dyDescent="0.25">
      <c r="B341" s="29">
        <v>90</v>
      </c>
      <c r="C341" s="28">
        <v>6.25E-2</v>
      </c>
      <c r="D341" s="29">
        <v>100</v>
      </c>
      <c r="E341" s="28">
        <v>6.25E-2</v>
      </c>
      <c r="F341" s="29">
        <v>100</v>
      </c>
      <c r="G341" s="28">
        <v>8.3333333333333329E-2</v>
      </c>
      <c r="H341" s="29">
        <v>150</v>
      </c>
      <c r="I341" s="28">
        <v>0.17708333333333334</v>
      </c>
      <c r="J341" s="59">
        <v>140</v>
      </c>
      <c r="K341" s="60">
        <v>7.2916666666666671E-2</v>
      </c>
      <c r="L341" s="29">
        <v>150</v>
      </c>
      <c r="M341" s="36">
        <v>5.2083333333333336E-2</v>
      </c>
      <c r="N341" s="29">
        <v>150</v>
      </c>
      <c r="O341" s="28">
        <v>7.2916666666666671E-2</v>
      </c>
      <c r="P341" s="66"/>
      <c r="Q341" s="64"/>
      <c r="R341" s="64"/>
      <c r="S341" s="2"/>
      <c r="T341" s="2"/>
    </row>
    <row r="342" spans="2:20" x14ac:dyDescent="0.25">
      <c r="B342" s="29">
        <v>150</v>
      </c>
      <c r="C342" s="28">
        <v>0.17708333333333334</v>
      </c>
      <c r="D342" s="29">
        <v>130</v>
      </c>
      <c r="E342" s="28">
        <v>0.17708333333333334</v>
      </c>
      <c r="F342" s="29">
        <v>150</v>
      </c>
      <c r="G342" s="28">
        <v>0.23958333333333334</v>
      </c>
      <c r="H342" s="29">
        <v>150</v>
      </c>
      <c r="I342" s="28">
        <v>0.28125</v>
      </c>
      <c r="J342" s="59">
        <v>150</v>
      </c>
      <c r="K342" s="60">
        <v>0.21875</v>
      </c>
      <c r="L342" s="29">
        <v>150</v>
      </c>
      <c r="M342" s="36">
        <v>0.22916666666666666</v>
      </c>
      <c r="N342" s="29">
        <v>150</v>
      </c>
      <c r="O342" s="28">
        <v>0.20833333333333334</v>
      </c>
      <c r="P342" s="66"/>
      <c r="Q342" s="64"/>
      <c r="R342" s="64"/>
      <c r="S342" s="2"/>
      <c r="T342" s="2"/>
    </row>
    <row r="343" spans="2:20" x14ac:dyDescent="0.25">
      <c r="B343" s="29">
        <v>150</v>
      </c>
      <c r="C343" s="28">
        <v>0.35416666666666669</v>
      </c>
      <c r="D343" s="29">
        <v>120</v>
      </c>
      <c r="E343" s="28">
        <v>0.34375</v>
      </c>
      <c r="F343" s="29">
        <v>120</v>
      </c>
      <c r="G343" s="28">
        <v>0.39583333333333331</v>
      </c>
      <c r="H343" s="29">
        <v>90</v>
      </c>
      <c r="I343" s="28">
        <v>0.36458333333333331</v>
      </c>
      <c r="J343" s="59">
        <v>150</v>
      </c>
      <c r="K343" s="60">
        <v>0.33333333333333331</v>
      </c>
      <c r="L343" s="29">
        <v>150</v>
      </c>
      <c r="M343" s="36">
        <v>0.40625</v>
      </c>
      <c r="N343" s="29">
        <v>60</v>
      </c>
      <c r="O343" s="28">
        <v>0.41666666666666669</v>
      </c>
      <c r="P343" s="66"/>
      <c r="Q343" s="64"/>
      <c r="R343" s="64"/>
      <c r="S343" s="2"/>
      <c r="T343" s="2"/>
    </row>
    <row r="344" spans="2:20" x14ac:dyDescent="0.25">
      <c r="B344" s="29">
        <v>150</v>
      </c>
      <c r="C344" s="28">
        <v>0.47916666666666669</v>
      </c>
      <c r="D344" s="29">
        <v>150</v>
      </c>
      <c r="E344" s="28">
        <v>0.59375</v>
      </c>
      <c r="F344" s="29">
        <v>150</v>
      </c>
      <c r="G344" s="28">
        <v>0.58333333333333337</v>
      </c>
      <c r="H344" s="29">
        <v>150</v>
      </c>
      <c r="I344" s="28">
        <v>0.51041666666666663</v>
      </c>
      <c r="J344" s="59">
        <v>120</v>
      </c>
      <c r="K344" s="60">
        <v>0.54166666666666663</v>
      </c>
      <c r="L344" s="29">
        <v>150</v>
      </c>
      <c r="M344" s="36">
        <v>0.58333333333333337</v>
      </c>
      <c r="N344" s="29">
        <v>120</v>
      </c>
      <c r="O344" s="28">
        <v>0.48958333333333331</v>
      </c>
      <c r="P344" s="66"/>
      <c r="Q344" s="71" t="s">
        <v>78</v>
      </c>
      <c r="R344" s="71"/>
      <c r="S344" s="53"/>
      <c r="T344" s="53"/>
    </row>
    <row r="345" spans="2:20" x14ac:dyDescent="0.25">
      <c r="B345" s="29">
        <v>90</v>
      </c>
      <c r="C345" s="28">
        <v>0.71875</v>
      </c>
      <c r="D345" s="29">
        <v>150</v>
      </c>
      <c r="E345" s="28">
        <v>0.77083333333333337</v>
      </c>
      <c r="F345" s="29">
        <v>150</v>
      </c>
      <c r="G345" s="28">
        <v>0.77083333333333337</v>
      </c>
      <c r="H345" s="29">
        <v>150</v>
      </c>
      <c r="I345" s="28">
        <v>0.6875</v>
      </c>
      <c r="J345" s="59">
        <v>120</v>
      </c>
      <c r="K345" s="60">
        <v>0.21875</v>
      </c>
      <c r="L345" s="29">
        <v>120</v>
      </c>
      <c r="M345" s="36">
        <v>0.76041666666666663</v>
      </c>
      <c r="N345" s="29">
        <v>150</v>
      </c>
      <c r="O345" s="28">
        <v>0.72916666666666663</v>
      </c>
      <c r="P345" s="66"/>
      <c r="Q345" s="64"/>
      <c r="R345" s="64"/>
      <c r="S345" s="53"/>
      <c r="T345" s="53"/>
    </row>
    <row r="346" spans="2:20" x14ac:dyDescent="0.25">
      <c r="B346" s="29">
        <v>150</v>
      </c>
      <c r="C346" s="28">
        <v>0.9</v>
      </c>
      <c r="D346" s="29">
        <v>150</v>
      </c>
      <c r="E346" s="28">
        <v>0.92708333333333337</v>
      </c>
      <c r="F346" s="29">
        <v>150</v>
      </c>
      <c r="G346" s="28">
        <v>0.98958333333333337</v>
      </c>
      <c r="H346" s="29">
        <v>150</v>
      </c>
      <c r="I346" s="28">
        <v>0.92708333333333337</v>
      </c>
      <c r="J346" s="59">
        <v>150</v>
      </c>
      <c r="K346" s="60">
        <v>0.9375</v>
      </c>
      <c r="L346" s="29">
        <v>150</v>
      </c>
      <c r="M346" s="36">
        <v>0.94791666666666663</v>
      </c>
      <c r="N346" s="29">
        <v>120</v>
      </c>
      <c r="O346" s="28">
        <v>0.86458333333333337</v>
      </c>
      <c r="P346" s="66"/>
      <c r="Q346" s="64"/>
      <c r="R346" s="64"/>
      <c r="S346" s="2"/>
      <c r="T346" s="2"/>
    </row>
    <row r="347" spans="2:20" x14ac:dyDescent="0.25">
      <c r="B347" s="14"/>
      <c r="C347" s="28"/>
      <c r="D347" s="14"/>
      <c r="E347" s="28"/>
      <c r="F347" s="40"/>
      <c r="G347" s="28"/>
      <c r="H347" s="40"/>
      <c r="I347" s="28"/>
      <c r="J347" s="14"/>
      <c r="K347" s="60"/>
      <c r="L347" s="14"/>
      <c r="M347" s="36"/>
      <c r="N347" s="29">
        <v>150</v>
      </c>
      <c r="O347" s="28">
        <v>0.97916666666666663</v>
      </c>
      <c r="P347" s="66"/>
      <c r="Q347" s="64"/>
      <c r="R347" s="64"/>
      <c r="S347" s="2"/>
      <c r="T347" s="2"/>
    </row>
    <row r="348" spans="2:20" x14ac:dyDescent="0.25">
      <c r="B348" s="14"/>
      <c r="C348" s="28"/>
      <c r="D348" s="14"/>
      <c r="E348" s="28"/>
      <c r="F348" s="40"/>
      <c r="G348" s="28"/>
      <c r="H348" s="40"/>
      <c r="I348" s="28"/>
      <c r="J348" s="14"/>
      <c r="K348" s="28"/>
      <c r="L348" s="14"/>
      <c r="M348" s="36"/>
      <c r="N348" s="14"/>
      <c r="O348" s="28"/>
      <c r="P348" s="66"/>
      <c r="Q348" s="64"/>
      <c r="R348" s="64"/>
      <c r="S348" s="2"/>
      <c r="T348" s="2"/>
    </row>
    <row r="349" spans="2:20" x14ac:dyDescent="0.25">
      <c r="B349" s="14"/>
      <c r="C349" s="28"/>
      <c r="D349" s="14"/>
      <c r="E349" s="28"/>
      <c r="F349" s="40"/>
      <c r="G349" s="28"/>
      <c r="H349" s="40"/>
      <c r="I349" s="28"/>
      <c r="J349" s="14"/>
      <c r="K349" s="28"/>
      <c r="L349" s="14"/>
      <c r="N349" s="14"/>
      <c r="O349" s="28"/>
      <c r="P349" s="66"/>
      <c r="Q349" s="64"/>
      <c r="R349" s="64"/>
      <c r="S349" s="2"/>
      <c r="T349" s="2"/>
    </row>
    <row r="350" spans="2:20" x14ac:dyDescent="0.25">
      <c r="B350" s="14"/>
      <c r="C350" s="28"/>
      <c r="D350" s="14"/>
      <c r="E350" s="28"/>
      <c r="F350" s="40"/>
      <c r="G350" s="28"/>
      <c r="H350" s="40"/>
      <c r="I350" s="28"/>
      <c r="J350" s="14"/>
      <c r="K350" s="28"/>
      <c r="L350" s="14"/>
      <c r="M350" s="28"/>
      <c r="N350" s="14"/>
      <c r="O350" s="28"/>
      <c r="P350" s="66"/>
      <c r="Q350" s="64"/>
      <c r="R350" s="64"/>
      <c r="S350" s="2"/>
      <c r="T350" s="2"/>
    </row>
    <row r="351" spans="2:20" x14ac:dyDescent="0.25">
      <c r="B351" s="14"/>
      <c r="C351" s="52"/>
      <c r="D351" s="14"/>
      <c r="E351" s="46"/>
      <c r="F351" s="40"/>
      <c r="G351" s="28"/>
      <c r="H351" s="40"/>
      <c r="I351" s="28"/>
      <c r="J351" s="14"/>
      <c r="K351" s="46"/>
      <c r="L351" s="14"/>
      <c r="M351" s="46"/>
      <c r="N351" s="14"/>
      <c r="O351" s="46"/>
      <c r="P351" s="66"/>
      <c r="Q351" s="64"/>
      <c r="R351" s="64"/>
      <c r="S351" s="2"/>
      <c r="T351" s="2"/>
    </row>
    <row r="352" spans="2:20" x14ac:dyDescent="0.25">
      <c r="B352" s="14"/>
      <c r="C352" s="22"/>
      <c r="D352" s="14"/>
      <c r="E352" s="35"/>
      <c r="F352" s="14"/>
      <c r="G352" s="28"/>
      <c r="H352" s="14"/>
      <c r="I352" s="28"/>
      <c r="J352" s="14"/>
      <c r="K352" s="28"/>
      <c r="L352" s="14"/>
      <c r="M352" s="35"/>
      <c r="N352" s="14"/>
      <c r="O352" s="28"/>
      <c r="P352" s="66"/>
      <c r="Q352" s="64"/>
      <c r="R352" s="64"/>
      <c r="S352" s="2"/>
      <c r="T352" s="2"/>
    </row>
    <row r="353" spans="2:20" x14ac:dyDescent="0.25">
      <c r="B353" s="14"/>
      <c r="C353" s="22"/>
      <c r="D353" s="14"/>
      <c r="E353" s="35"/>
      <c r="F353" s="14"/>
      <c r="G353" s="28"/>
      <c r="H353" s="14"/>
      <c r="I353" s="28"/>
      <c r="J353" s="14"/>
      <c r="K353" s="28"/>
      <c r="L353" s="14"/>
      <c r="M353" s="35"/>
      <c r="N353" s="14"/>
      <c r="O353" s="20"/>
      <c r="P353" s="66"/>
      <c r="Q353" s="64"/>
      <c r="R353" s="64"/>
      <c r="S353" s="2"/>
      <c r="T353" s="2"/>
    </row>
    <row r="354" spans="2:20" x14ac:dyDescent="0.25">
      <c r="B354" s="14"/>
      <c r="C354" s="20"/>
      <c r="D354" s="14"/>
      <c r="E354" s="20"/>
      <c r="F354" s="14"/>
      <c r="G354" s="20"/>
      <c r="H354" s="14"/>
      <c r="I354" s="20"/>
      <c r="J354" s="14"/>
      <c r="K354" s="20"/>
      <c r="L354" s="14"/>
      <c r="M354" s="20"/>
      <c r="N354" s="14"/>
      <c r="O354" s="20"/>
      <c r="P354" s="66"/>
      <c r="Q354" s="64"/>
      <c r="R354" s="64"/>
      <c r="S354" s="2"/>
      <c r="T354" s="2"/>
    </row>
    <row r="355" spans="2:20" x14ac:dyDescent="0.25">
      <c r="B355" s="14"/>
      <c r="C355" s="12"/>
      <c r="D355" s="14"/>
      <c r="E355" s="12"/>
      <c r="F355" s="14"/>
      <c r="G355" s="12"/>
      <c r="H355" s="14"/>
      <c r="I355" s="12"/>
      <c r="J355" s="14"/>
      <c r="K355" s="12"/>
      <c r="L355" s="14"/>
      <c r="M355" s="12"/>
      <c r="N355" s="14"/>
      <c r="O355" s="12"/>
      <c r="P355" s="66"/>
      <c r="Q355" s="64"/>
      <c r="R355" s="64"/>
      <c r="S355" s="2"/>
      <c r="T355" s="2"/>
    </row>
    <row r="356" spans="2:20" x14ac:dyDescent="0.25">
      <c r="B356" s="19"/>
      <c r="C356" s="12"/>
      <c r="D356" s="19"/>
      <c r="E356" s="12"/>
      <c r="F356" s="19"/>
      <c r="G356" s="12"/>
      <c r="H356" s="19"/>
      <c r="I356" s="12"/>
      <c r="J356" s="19"/>
      <c r="K356" s="12"/>
      <c r="L356" s="19"/>
      <c r="M356" s="12"/>
      <c r="N356" s="19"/>
      <c r="O356" s="12"/>
      <c r="P356" s="66"/>
      <c r="Q356" s="64"/>
      <c r="R356" s="64"/>
      <c r="S356" s="2"/>
      <c r="T356" s="2"/>
    </row>
    <row r="357" spans="2:20" x14ac:dyDescent="0.25">
      <c r="B357" s="24" t="s">
        <v>13</v>
      </c>
      <c r="C357" s="12"/>
      <c r="D357" s="24" t="s">
        <v>13</v>
      </c>
      <c r="E357" s="12"/>
      <c r="F357" s="24" t="s">
        <v>13</v>
      </c>
      <c r="G357" s="12"/>
      <c r="H357" s="24" t="s">
        <v>13</v>
      </c>
      <c r="I357" s="12"/>
      <c r="J357" s="24" t="s">
        <v>13</v>
      </c>
      <c r="K357" s="12"/>
      <c r="L357" s="24" t="s">
        <v>13</v>
      </c>
      <c r="M357" s="12"/>
      <c r="N357" s="24" t="s">
        <v>13</v>
      </c>
      <c r="O357" s="12"/>
      <c r="P357" s="66" t="s">
        <v>67</v>
      </c>
      <c r="Q357" s="64"/>
      <c r="R357" s="64"/>
      <c r="S357" s="2"/>
      <c r="T357" s="2"/>
    </row>
    <row r="358" spans="2:20" ht="15.75" thickBot="1" x14ac:dyDescent="0.3">
      <c r="B358" s="25">
        <f>SUM(B341:B349)+B355</f>
        <v>780</v>
      </c>
      <c r="C358" s="26"/>
      <c r="D358" s="25">
        <f>SUM(D341:D350)+D355</f>
        <v>800</v>
      </c>
      <c r="E358" s="26"/>
      <c r="F358" s="25">
        <f>SUM(F341:F350)+F355</f>
        <v>820</v>
      </c>
      <c r="G358" s="26"/>
      <c r="H358" s="25">
        <f>SUM(H341:H348)+H355</f>
        <v>840</v>
      </c>
      <c r="I358" s="26"/>
      <c r="J358" s="25">
        <f>SUM(J341:J348)+J355</f>
        <v>830</v>
      </c>
      <c r="K358" s="26"/>
      <c r="L358" s="25">
        <f>SUM(L341:L350)+L355</f>
        <v>870</v>
      </c>
      <c r="M358" s="26"/>
      <c r="N358" s="25">
        <f>SUM(N341:N350)+N355</f>
        <v>900</v>
      </c>
      <c r="O358" s="26"/>
      <c r="P358" s="67">
        <f>SUM(B358:O358)/7</f>
        <v>834.28571428571433</v>
      </c>
      <c r="Q358" s="64"/>
      <c r="R358" s="64"/>
      <c r="S358" s="2"/>
      <c r="T358" s="2"/>
    </row>
    <row r="359" spans="2:20" ht="15.75" thickBot="1" x14ac:dyDescent="0.3"/>
    <row r="360" spans="2:20" x14ac:dyDescent="0.25">
      <c r="B360" s="73">
        <v>45986</v>
      </c>
      <c r="C360" s="74"/>
      <c r="D360" s="73">
        <v>45987</v>
      </c>
      <c r="E360" s="74"/>
      <c r="F360" s="73">
        <v>45988</v>
      </c>
      <c r="G360" s="74"/>
      <c r="H360" s="73">
        <v>45989</v>
      </c>
      <c r="I360" s="74"/>
      <c r="J360" s="73">
        <v>45990</v>
      </c>
      <c r="K360" s="74"/>
      <c r="L360" s="73">
        <v>45991</v>
      </c>
      <c r="M360" s="74"/>
      <c r="N360" s="73">
        <v>45992</v>
      </c>
      <c r="O360" s="74"/>
      <c r="P360" s="66"/>
      <c r="Q360" s="64"/>
      <c r="R360" s="64"/>
    </row>
    <row r="361" spans="2:20" x14ac:dyDescent="0.25">
      <c r="B361" s="3" t="s">
        <v>11</v>
      </c>
      <c r="C361" s="4" t="s">
        <v>12</v>
      </c>
      <c r="D361" s="3" t="s">
        <v>11</v>
      </c>
      <c r="E361" s="4" t="s">
        <v>12</v>
      </c>
      <c r="F361" s="3" t="s">
        <v>11</v>
      </c>
      <c r="G361" s="4" t="s">
        <v>12</v>
      </c>
      <c r="H361" s="3" t="s">
        <v>11</v>
      </c>
      <c r="I361" s="4" t="s">
        <v>12</v>
      </c>
      <c r="J361" s="3" t="s">
        <v>11</v>
      </c>
      <c r="K361" s="4" t="s">
        <v>12</v>
      </c>
      <c r="L361" s="3" t="s">
        <v>11</v>
      </c>
      <c r="M361" s="4" t="s">
        <v>12</v>
      </c>
      <c r="N361" s="3" t="s">
        <v>11</v>
      </c>
      <c r="O361" s="4" t="s">
        <v>12</v>
      </c>
      <c r="P361" s="66"/>
      <c r="Q361" s="64"/>
      <c r="R361" s="64"/>
    </row>
    <row r="362" spans="2:20" x14ac:dyDescent="0.25">
      <c r="B362" s="29">
        <v>150</v>
      </c>
      <c r="C362" s="28">
        <v>0.10416666666666667</v>
      </c>
      <c r="D362" s="29">
        <v>150</v>
      </c>
      <c r="E362" s="28">
        <v>4.1666666666666664E-2</v>
      </c>
      <c r="F362" s="29">
        <v>50</v>
      </c>
      <c r="G362" s="28">
        <v>6.25E-2</v>
      </c>
      <c r="H362" s="29"/>
      <c r="I362" s="28"/>
      <c r="J362" s="59">
        <v>150</v>
      </c>
      <c r="K362" s="60">
        <v>0.11458333333333333</v>
      </c>
      <c r="L362" s="29">
        <v>120</v>
      </c>
      <c r="M362" s="36">
        <v>4.1666666666666664E-2</v>
      </c>
      <c r="N362" s="29">
        <v>150</v>
      </c>
      <c r="O362" s="28">
        <v>8.3333333333333329E-2</v>
      </c>
      <c r="P362" s="66"/>
      <c r="Q362" s="64"/>
      <c r="R362" s="64"/>
    </row>
    <row r="363" spans="2:20" x14ac:dyDescent="0.25">
      <c r="B363" s="29">
        <v>150</v>
      </c>
      <c r="C363" s="28">
        <v>0.22916666666666666</v>
      </c>
      <c r="D363" s="29">
        <v>150</v>
      </c>
      <c r="E363" s="28">
        <v>0.1875</v>
      </c>
      <c r="F363" s="29">
        <v>150</v>
      </c>
      <c r="G363" s="28">
        <v>0.21875</v>
      </c>
      <c r="H363" s="29"/>
      <c r="I363" s="28"/>
      <c r="J363" s="59">
        <v>150</v>
      </c>
      <c r="K363" s="60">
        <v>0.28125</v>
      </c>
      <c r="L363" s="29">
        <v>150</v>
      </c>
      <c r="M363" s="36">
        <v>0.28125</v>
      </c>
      <c r="N363" s="29">
        <v>150</v>
      </c>
      <c r="O363" s="28">
        <v>0.29166666666666669</v>
      </c>
      <c r="P363" s="66"/>
      <c r="Q363" s="64"/>
      <c r="R363" s="64"/>
    </row>
    <row r="364" spans="2:20" x14ac:dyDescent="0.25">
      <c r="B364" s="29">
        <v>90</v>
      </c>
      <c r="C364" s="28">
        <v>0.38541666666666669</v>
      </c>
      <c r="D364" s="29">
        <v>150</v>
      </c>
      <c r="E364" s="28">
        <v>0.33333333333333331</v>
      </c>
      <c r="F364" s="29">
        <v>90</v>
      </c>
      <c r="G364" s="28">
        <v>0.36458333333333331</v>
      </c>
      <c r="H364" s="29"/>
      <c r="I364" s="28"/>
      <c r="J364" s="59">
        <v>120</v>
      </c>
      <c r="K364" s="60">
        <v>0.5</v>
      </c>
      <c r="L364" s="29">
        <v>120</v>
      </c>
      <c r="M364" s="36">
        <v>0.45833333333333331</v>
      </c>
      <c r="N364" s="63">
        <v>150</v>
      </c>
      <c r="O364" s="28">
        <v>0.47916666666666669</v>
      </c>
      <c r="P364" s="66"/>
      <c r="Q364" s="64"/>
      <c r="R364" s="64"/>
    </row>
    <row r="365" spans="2:20" x14ac:dyDescent="0.25">
      <c r="B365" s="29">
        <v>120</v>
      </c>
      <c r="C365" s="28">
        <v>0.57291666666666663</v>
      </c>
      <c r="D365" s="29">
        <v>150</v>
      </c>
      <c r="E365" s="28">
        <v>0.48958333333333331</v>
      </c>
      <c r="F365" s="29">
        <v>100</v>
      </c>
      <c r="G365" s="28">
        <v>0.47916666666666669</v>
      </c>
      <c r="H365" s="29"/>
      <c r="I365" s="28"/>
      <c r="J365" s="59">
        <v>120</v>
      </c>
      <c r="K365" s="60">
        <v>0.65625</v>
      </c>
      <c r="L365" s="29">
        <v>90</v>
      </c>
      <c r="M365" s="36">
        <v>0.75</v>
      </c>
      <c r="N365" s="63">
        <v>150</v>
      </c>
      <c r="O365" s="28">
        <v>0.69791666666666663</v>
      </c>
      <c r="P365" s="66"/>
      <c r="Q365" s="71" t="s">
        <v>78</v>
      </c>
      <c r="R365" s="71"/>
    </row>
    <row r="366" spans="2:20" x14ac:dyDescent="0.25">
      <c r="B366" s="29">
        <v>120</v>
      </c>
      <c r="C366" s="28">
        <v>0.76041666666666663</v>
      </c>
      <c r="D366" s="29">
        <v>150</v>
      </c>
      <c r="E366" s="28">
        <v>0.65625</v>
      </c>
      <c r="F366" s="29">
        <v>120</v>
      </c>
      <c r="G366" s="28">
        <v>0.65625</v>
      </c>
      <c r="H366" s="29"/>
      <c r="I366" s="28"/>
      <c r="J366" s="59">
        <v>150</v>
      </c>
      <c r="K366" s="60">
        <v>0.79166666666666663</v>
      </c>
      <c r="L366" s="29">
        <v>100</v>
      </c>
      <c r="M366" s="36">
        <v>0.875</v>
      </c>
      <c r="N366" s="29">
        <v>150</v>
      </c>
      <c r="O366" s="28">
        <v>0.97916666666666663</v>
      </c>
      <c r="P366" s="66"/>
      <c r="Q366" s="72" t="s">
        <v>77</v>
      </c>
      <c r="R366" s="72"/>
    </row>
    <row r="367" spans="2:20" x14ac:dyDescent="0.25">
      <c r="B367" s="29">
        <v>150</v>
      </c>
      <c r="C367" s="28">
        <v>0.89583333333333337</v>
      </c>
      <c r="D367" s="29">
        <v>30</v>
      </c>
      <c r="E367" s="28">
        <v>0.79166666666666663</v>
      </c>
      <c r="F367" s="29">
        <v>70</v>
      </c>
      <c r="G367" s="28">
        <v>0.82291666666666663</v>
      </c>
      <c r="H367" s="29"/>
      <c r="I367" s="28"/>
      <c r="J367" s="59">
        <v>90</v>
      </c>
      <c r="K367" s="60">
        <v>0.91666666666666663</v>
      </c>
      <c r="L367" s="14"/>
      <c r="M367" s="36"/>
      <c r="N367" s="14"/>
      <c r="O367" s="28"/>
      <c r="P367" s="66"/>
      <c r="Q367" s="64"/>
      <c r="R367" s="64"/>
    </row>
    <row r="368" spans="2:20" x14ac:dyDescent="0.25">
      <c r="B368" s="14"/>
      <c r="C368" s="28"/>
      <c r="D368" s="29">
        <v>150</v>
      </c>
      <c r="E368" s="28">
        <v>0.91666666666666663</v>
      </c>
      <c r="F368" s="40">
        <v>150</v>
      </c>
      <c r="G368" s="28">
        <v>0.9375</v>
      </c>
      <c r="H368" s="40"/>
      <c r="I368" s="28"/>
      <c r="J368" s="14"/>
      <c r="K368" s="60"/>
      <c r="L368" s="14"/>
      <c r="M368" s="36"/>
      <c r="N368" s="14"/>
      <c r="O368" s="28"/>
      <c r="P368" s="66"/>
      <c r="Q368" s="64"/>
      <c r="R368" s="64"/>
    </row>
    <row r="369" spans="2:18" x14ac:dyDescent="0.25">
      <c r="B369" s="14"/>
      <c r="C369" s="28"/>
      <c r="D369" s="14"/>
      <c r="E369" s="28"/>
      <c r="F369" s="40"/>
      <c r="G369" s="28"/>
      <c r="H369" s="40"/>
      <c r="I369" s="28"/>
      <c r="J369" s="14"/>
      <c r="K369" s="28"/>
      <c r="L369" s="14"/>
      <c r="M369" s="36"/>
      <c r="N369" s="14"/>
      <c r="O369" s="28"/>
      <c r="P369" s="66"/>
      <c r="Q369" s="64"/>
      <c r="R369" s="64"/>
    </row>
    <row r="370" spans="2:18" x14ac:dyDescent="0.25">
      <c r="B370" s="14"/>
      <c r="C370" s="28"/>
      <c r="D370" s="14"/>
      <c r="E370" s="28"/>
      <c r="F370" s="40"/>
      <c r="G370" s="28"/>
      <c r="H370" s="40"/>
      <c r="I370" s="28"/>
      <c r="J370" s="14"/>
      <c r="K370" s="28"/>
      <c r="L370" s="14"/>
      <c r="N370" s="14"/>
      <c r="O370" s="28"/>
      <c r="P370" s="66"/>
      <c r="Q370" s="64"/>
      <c r="R370" s="64"/>
    </row>
    <row r="371" spans="2:18" x14ac:dyDescent="0.25">
      <c r="B371" s="14"/>
      <c r="C371" s="28"/>
      <c r="D371" s="14"/>
      <c r="E371" s="28"/>
      <c r="F371" s="40"/>
      <c r="G371" s="28"/>
      <c r="H371" s="40"/>
      <c r="I371" s="28"/>
      <c r="J371" s="14"/>
      <c r="K371" s="28"/>
      <c r="L371" s="14"/>
      <c r="M371" s="28"/>
      <c r="N371" s="14"/>
      <c r="O371" s="28"/>
      <c r="P371" s="66"/>
      <c r="Q371" s="64"/>
      <c r="R371" s="64"/>
    </row>
    <row r="372" spans="2:18" x14ac:dyDescent="0.25">
      <c r="B372" s="14"/>
      <c r="C372" s="52"/>
      <c r="D372" s="14"/>
      <c r="E372" s="46"/>
      <c r="F372" s="40"/>
      <c r="G372" s="28"/>
      <c r="H372" s="40"/>
      <c r="I372" s="28"/>
      <c r="J372" s="14"/>
      <c r="K372" s="46"/>
      <c r="L372" s="14"/>
      <c r="M372" s="46"/>
      <c r="N372" s="14"/>
      <c r="O372" s="46"/>
      <c r="P372" s="66"/>
      <c r="Q372" s="64"/>
      <c r="R372" s="64"/>
    </row>
    <row r="373" spans="2:18" x14ac:dyDescent="0.25">
      <c r="B373" s="14"/>
      <c r="C373" s="22"/>
      <c r="D373" s="14"/>
      <c r="E373" s="35"/>
      <c r="F373" s="14"/>
      <c r="G373" s="28"/>
      <c r="H373" s="14"/>
      <c r="I373" s="28"/>
      <c r="J373" s="14"/>
      <c r="K373" s="28"/>
      <c r="L373" s="14"/>
      <c r="M373" s="35"/>
      <c r="N373" s="14"/>
      <c r="O373" s="28"/>
      <c r="P373" s="66"/>
      <c r="Q373" s="64"/>
      <c r="R373" s="64"/>
    </row>
    <row r="374" spans="2:18" x14ac:dyDescent="0.25">
      <c r="B374" s="14"/>
      <c r="C374" s="22"/>
      <c r="D374" s="14"/>
      <c r="E374" s="35"/>
      <c r="F374" s="14"/>
      <c r="G374" s="28"/>
      <c r="H374" s="14"/>
      <c r="I374" s="28"/>
      <c r="J374" s="14"/>
      <c r="K374" s="28"/>
      <c r="L374" s="14"/>
      <c r="M374" s="35"/>
      <c r="N374" s="14"/>
      <c r="O374" s="20"/>
      <c r="P374" s="66"/>
      <c r="Q374" s="64"/>
      <c r="R374" s="64"/>
    </row>
    <row r="375" spans="2:18" x14ac:dyDescent="0.25">
      <c r="B375" s="14"/>
      <c r="C375" s="20"/>
      <c r="D375" s="14"/>
      <c r="E375" s="20"/>
      <c r="F375" s="14"/>
      <c r="G375" s="20"/>
      <c r="H375" s="14"/>
      <c r="I375" s="20"/>
      <c r="J375" s="14"/>
      <c r="K375" s="20"/>
      <c r="L375" s="14"/>
      <c r="M375" s="20"/>
      <c r="N375" s="14"/>
      <c r="O375" s="20"/>
      <c r="P375" s="66"/>
      <c r="Q375" s="64"/>
      <c r="R375" s="64"/>
    </row>
    <row r="376" spans="2:18" x14ac:dyDescent="0.25">
      <c r="B376" s="14"/>
      <c r="C376" s="12"/>
      <c r="D376" s="14"/>
      <c r="E376" s="12"/>
      <c r="F376" s="14"/>
      <c r="G376" s="12"/>
      <c r="H376" s="14"/>
      <c r="I376" s="12"/>
      <c r="J376" s="14"/>
      <c r="K376" s="12"/>
      <c r="L376" s="14"/>
      <c r="M376" s="12"/>
      <c r="N376" s="14"/>
      <c r="O376" s="12"/>
      <c r="P376" s="66"/>
      <c r="Q376" s="64"/>
      <c r="R376" s="64"/>
    </row>
    <row r="377" spans="2:18" x14ac:dyDescent="0.25">
      <c r="B377" s="19"/>
      <c r="C377" s="12"/>
      <c r="D377" s="19"/>
      <c r="E377" s="12"/>
      <c r="F377" s="19"/>
      <c r="G377" s="12"/>
      <c r="H377" s="19"/>
      <c r="I377" s="12"/>
      <c r="J377" s="19"/>
      <c r="K377" s="12"/>
      <c r="L377" s="19"/>
      <c r="M377" s="12"/>
      <c r="N377" s="19"/>
      <c r="O377" s="12"/>
      <c r="P377" s="66"/>
      <c r="Q377" s="64"/>
      <c r="R377" s="64"/>
    </row>
    <row r="378" spans="2:18" x14ac:dyDescent="0.25">
      <c r="B378" s="24" t="s">
        <v>13</v>
      </c>
      <c r="C378" s="12"/>
      <c r="D378" s="24" t="s">
        <v>13</v>
      </c>
      <c r="E378" s="12"/>
      <c r="F378" s="24" t="s">
        <v>13</v>
      </c>
      <c r="G378" s="12"/>
      <c r="H378" s="24" t="s">
        <v>13</v>
      </c>
      <c r="I378" s="12"/>
      <c r="J378" s="24" t="s">
        <v>13</v>
      </c>
      <c r="K378" s="12"/>
      <c r="L378" s="24" t="s">
        <v>13</v>
      </c>
      <c r="M378" s="12"/>
      <c r="N378" s="24" t="s">
        <v>13</v>
      </c>
      <c r="O378" s="12"/>
      <c r="P378" s="66" t="s">
        <v>67</v>
      </c>
      <c r="Q378" s="64"/>
      <c r="R378" s="64"/>
    </row>
    <row r="379" spans="2:18" ht="15.75" thickBot="1" x14ac:dyDescent="0.3">
      <c r="B379" s="25">
        <f>SUM(B362:B370)+B376</f>
        <v>780</v>
      </c>
      <c r="C379" s="26"/>
      <c r="D379" s="25">
        <f>SUM(D362:D371)+D376</f>
        <v>930</v>
      </c>
      <c r="E379" s="26"/>
      <c r="F379" s="25">
        <f>SUM(F362:F371)+F376</f>
        <v>730</v>
      </c>
      <c r="G379" s="26"/>
      <c r="H379" s="25">
        <f>SUM(H362:H369)+H376</f>
        <v>0</v>
      </c>
      <c r="I379" s="26"/>
      <c r="J379" s="25">
        <f>SUM(J362:J369)+J376</f>
        <v>780</v>
      </c>
      <c r="K379" s="26"/>
      <c r="L379" s="25">
        <f>SUM(L362:L371)+L376</f>
        <v>580</v>
      </c>
      <c r="M379" s="26"/>
      <c r="N379" s="25">
        <f>SUM(N362:N371)+N376</f>
        <v>750</v>
      </c>
      <c r="O379" s="26"/>
      <c r="P379" s="67">
        <f>SUM(B379:O379)/7</f>
        <v>650</v>
      </c>
      <c r="Q379" s="64"/>
      <c r="R379" s="64"/>
    </row>
    <row r="380" spans="2:18" ht="15.75" thickBot="1" x14ac:dyDescent="0.3"/>
    <row r="381" spans="2:18" x14ac:dyDescent="0.25">
      <c r="B381" s="73">
        <v>45993</v>
      </c>
      <c r="C381" s="74"/>
      <c r="D381" s="73">
        <v>45994</v>
      </c>
      <c r="E381" s="74"/>
      <c r="F381" s="73">
        <v>45995</v>
      </c>
      <c r="G381" s="74"/>
      <c r="H381" s="73">
        <v>45996</v>
      </c>
      <c r="I381" s="74"/>
      <c r="J381" s="73">
        <v>45997</v>
      </c>
      <c r="K381" s="74"/>
      <c r="L381" s="73">
        <v>45998</v>
      </c>
      <c r="M381" s="74"/>
      <c r="N381" s="73">
        <v>45999</v>
      </c>
      <c r="O381" s="74"/>
      <c r="P381" s="66"/>
      <c r="Q381" s="64"/>
      <c r="R381" s="64"/>
    </row>
    <row r="382" spans="2:18" x14ac:dyDescent="0.25">
      <c r="B382" s="3" t="s">
        <v>11</v>
      </c>
      <c r="C382" s="4" t="s">
        <v>12</v>
      </c>
      <c r="D382" s="3" t="s">
        <v>11</v>
      </c>
      <c r="E382" s="4" t="s">
        <v>12</v>
      </c>
      <c r="F382" s="3" t="s">
        <v>11</v>
      </c>
      <c r="G382" s="4" t="s">
        <v>12</v>
      </c>
      <c r="H382" s="3" t="s">
        <v>11</v>
      </c>
      <c r="I382" s="4" t="s">
        <v>12</v>
      </c>
      <c r="J382" s="3" t="s">
        <v>11</v>
      </c>
      <c r="K382" s="4" t="s">
        <v>12</v>
      </c>
      <c r="L382" s="3" t="s">
        <v>11</v>
      </c>
      <c r="M382" s="4" t="s">
        <v>12</v>
      </c>
      <c r="N382" s="3" t="s">
        <v>11</v>
      </c>
      <c r="O382" s="4" t="s">
        <v>12</v>
      </c>
      <c r="P382" s="66"/>
      <c r="Q382" s="64"/>
      <c r="R382" s="64"/>
    </row>
    <row r="383" spans="2:18" x14ac:dyDescent="0.25">
      <c r="B383" s="29">
        <v>100</v>
      </c>
      <c r="C383" s="28">
        <v>1.0416666666666666E-2</v>
      </c>
      <c r="D383" s="29">
        <v>150</v>
      </c>
      <c r="E383" s="28">
        <v>0.10416666666666667</v>
      </c>
      <c r="F383" s="29">
        <v>150</v>
      </c>
      <c r="G383" s="28">
        <v>0.10416666666666667</v>
      </c>
      <c r="H383" s="29">
        <v>150</v>
      </c>
      <c r="I383" s="28">
        <v>0.10416666666666667</v>
      </c>
      <c r="J383" s="29">
        <v>150</v>
      </c>
      <c r="K383" s="28">
        <v>0.10416666666666667</v>
      </c>
      <c r="L383" s="29">
        <v>150</v>
      </c>
      <c r="M383" s="28">
        <v>0.10416666666666667</v>
      </c>
      <c r="N383" s="29">
        <v>150</v>
      </c>
      <c r="O383" s="28">
        <v>0.125</v>
      </c>
      <c r="P383" s="66"/>
      <c r="Q383" s="64"/>
      <c r="R383" s="64"/>
    </row>
    <row r="384" spans="2:18" x14ac:dyDescent="0.25">
      <c r="B384" s="29">
        <v>100</v>
      </c>
      <c r="C384" s="28">
        <v>0.16666666666666666</v>
      </c>
      <c r="D384" s="29">
        <v>150</v>
      </c>
      <c r="E384" s="28">
        <v>0.22916666666666666</v>
      </c>
      <c r="F384" s="29">
        <v>150</v>
      </c>
      <c r="G384" s="28">
        <v>0.22916666666666666</v>
      </c>
      <c r="H384" s="29">
        <v>150</v>
      </c>
      <c r="I384" s="28">
        <v>0.22916666666666666</v>
      </c>
      <c r="J384" s="29">
        <v>150</v>
      </c>
      <c r="K384" s="28">
        <v>0.22916666666666666</v>
      </c>
      <c r="L384" s="63">
        <v>150</v>
      </c>
      <c r="M384" s="28">
        <v>0.22916666666666666</v>
      </c>
      <c r="N384" s="29">
        <v>150</v>
      </c>
      <c r="O384" s="28">
        <v>0.29166666666666669</v>
      </c>
      <c r="P384" s="66"/>
      <c r="Q384" s="64"/>
      <c r="R384" s="64"/>
    </row>
    <row r="385" spans="2:18" x14ac:dyDescent="0.25">
      <c r="B385" s="29">
        <v>120</v>
      </c>
      <c r="C385" s="28">
        <v>0.38541666666666669</v>
      </c>
      <c r="D385" s="29">
        <v>30</v>
      </c>
      <c r="E385" s="28">
        <v>0.36458333333333331</v>
      </c>
      <c r="F385" s="63">
        <v>120</v>
      </c>
      <c r="G385" s="28">
        <v>0.36458333333333331</v>
      </c>
      <c r="H385" s="29">
        <v>120</v>
      </c>
      <c r="I385" s="28">
        <v>0.36458333333333331</v>
      </c>
      <c r="J385" s="29">
        <v>120</v>
      </c>
      <c r="K385" s="28">
        <v>0.36458333333333331</v>
      </c>
      <c r="L385" s="29">
        <v>120</v>
      </c>
      <c r="M385" s="28">
        <v>0.36458333333333331</v>
      </c>
      <c r="N385" s="29">
        <v>100</v>
      </c>
      <c r="O385" s="28">
        <v>0.44791666666666669</v>
      </c>
      <c r="P385" s="66"/>
      <c r="Q385" s="64"/>
      <c r="R385" s="64"/>
    </row>
    <row r="386" spans="2:18" x14ac:dyDescent="0.25">
      <c r="B386" s="63">
        <v>150</v>
      </c>
      <c r="C386" s="28">
        <v>0.53125</v>
      </c>
      <c r="D386" s="63">
        <v>150</v>
      </c>
      <c r="E386" s="28">
        <v>0.45833333333333331</v>
      </c>
      <c r="F386" s="63">
        <v>60</v>
      </c>
      <c r="G386" s="28">
        <v>0.5625</v>
      </c>
      <c r="H386" s="63">
        <v>30</v>
      </c>
      <c r="I386" s="28">
        <v>0.375</v>
      </c>
      <c r="J386" s="63">
        <v>70</v>
      </c>
      <c r="K386" s="60">
        <v>0.72916666666666663</v>
      </c>
      <c r="L386" s="29">
        <v>150</v>
      </c>
      <c r="M386" s="36">
        <v>0.66666666666666663</v>
      </c>
      <c r="N386" s="29">
        <v>150</v>
      </c>
      <c r="O386" s="28">
        <v>0.61458333333333337</v>
      </c>
      <c r="P386" s="66"/>
      <c r="Q386" s="71" t="s">
        <v>78</v>
      </c>
      <c r="R386" s="71"/>
    </row>
    <row r="387" spans="2:18" x14ac:dyDescent="0.25">
      <c r="B387" s="63">
        <v>70</v>
      </c>
      <c r="C387" s="28">
        <v>0.73958333333333337</v>
      </c>
      <c r="D387" s="63">
        <v>150</v>
      </c>
      <c r="E387" s="28">
        <v>0.625</v>
      </c>
      <c r="F387" s="63">
        <v>150</v>
      </c>
      <c r="G387" s="28">
        <v>0.625</v>
      </c>
      <c r="H387" s="63">
        <v>150</v>
      </c>
      <c r="I387" s="28">
        <v>0.4375</v>
      </c>
      <c r="J387" s="63">
        <v>150</v>
      </c>
      <c r="K387" s="60">
        <v>0.83333333333333337</v>
      </c>
      <c r="L387" s="29">
        <v>150</v>
      </c>
      <c r="M387" s="36">
        <v>0.83333333333333337</v>
      </c>
      <c r="N387" s="29">
        <v>60</v>
      </c>
      <c r="O387" s="28">
        <v>0.75</v>
      </c>
      <c r="P387" s="66"/>
      <c r="Q387" s="72" t="s">
        <v>77</v>
      </c>
      <c r="R387" s="72"/>
    </row>
    <row r="388" spans="2:18" x14ac:dyDescent="0.25">
      <c r="B388" s="63">
        <v>150</v>
      </c>
      <c r="C388" s="28">
        <v>0.90625</v>
      </c>
      <c r="D388" s="63">
        <v>60</v>
      </c>
      <c r="E388" s="28">
        <v>0.79166666666666663</v>
      </c>
      <c r="F388" s="29">
        <v>150</v>
      </c>
      <c r="G388" s="28">
        <v>0.80208333333333337</v>
      </c>
      <c r="H388" s="63">
        <v>150</v>
      </c>
      <c r="I388" s="28">
        <v>0.65625</v>
      </c>
      <c r="J388" s="63">
        <v>120</v>
      </c>
      <c r="K388" s="60">
        <v>0.96875</v>
      </c>
      <c r="L388" s="29">
        <v>150</v>
      </c>
      <c r="M388" s="36">
        <v>0.91666666666666663</v>
      </c>
      <c r="N388" s="29">
        <v>60</v>
      </c>
      <c r="O388" s="28">
        <v>0.82291666666666663</v>
      </c>
      <c r="P388" s="66"/>
      <c r="Q388" s="77" t="s">
        <v>75</v>
      </c>
      <c r="R388" s="77"/>
    </row>
    <row r="389" spans="2:18" x14ac:dyDescent="0.25">
      <c r="B389" s="14"/>
      <c r="C389" s="28"/>
      <c r="D389" s="29">
        <v>150</v>
      </c>
      <c r="E389" s="28">
        <v>0.85416666666666663</v>
      </c>
      <c r="F389" s="29">
        <v>150</v>
      </c>
      <c r="G389" s="28">
        <v>0.94791666666666663</v>
      </c>
      <c r="H389" s="29">
        <v>120</v>
      </c>
      <c r="I389" s="28">
        <v>0.73958333333333337</v>
      </c>
      <c r="J389" s="14"/>
      <c r="K389" s="60"/>
      <c r="L389" s="14"/>
      <c r="M389" s="36"/>
      <c r="N389" s="29">
        <v>150</v>
      </c>
      <c r="O389" s="28">
        <v>0.95833333333333337</v>
      </c>
      <c r="P389" s="66"/>
      <c r="Q389" s="64"/>
      <c r="R389" s="64"/>
    </row>
    <row r="390" spans="2:18" x14ac:dyDescent="0.25">
      <c r="B390" s="14"/>
      <c r="C390" s="28"/>
      <c r="D390" s="14"/>
      <c r="E390" s="28"/>
      <c r="F390" s="40"/>
      <c r="G390" s="28"/>
      <c r="H390" s="40"/>
      <c r="I390" s="28"/>
      <c r="J390" s="14"/>
      <c r="K390" s="28"/>
      <c r="L390" s="14"/>
      <c r="M390" s="36"/>
      <c r="N390" s="14"/>
      <c r="O390" s="28"/>
      <c r="P390" s="66"/>
      <c r="Q390" s="64"/>
      <c r="R390" s="64"/>
    </row>
    <row r="391" spans="2:18" x14ac:dyDescent="0.25">
      <c r="B391" s="14"/>
      <c r="C391" s="28"/>
      <c r="D391" s="14"/>
      <c r="E391" s="28"/>
      <c r="F391" s="40"/>
      <c r="G391" s="28"/>
      <c r="H391" s="40"/>
      <c r="I391" s="28"/>
      <c r="J391" s="14"/>
      <c r="K391" s="28"/>
      <c r="L391" s="14"/>
      <c r="N391" s="14"/>
      <c r="O391" s="28"/>
      <c r="P391" s="66"/>
      <c r="Q391" s="64"/>
      <c r="R391" s="64"/>
    </row>
    <row r="392" spans="2:18" ht="60" x14ac:dyDescent="0.25">
      <c r="B392" s="69" t="s">
        <v>86</v>
      </c>
      <c r="C392" s="70" t="s">
        <v>93</v>
      </c>
      <c r="D392" s="14"/>
      <c r="E392" s="28"/>
      <c r="F392" s="40"/>
      <c r="G392" s="28"/>
      <c r="H392" s="40"/>
      <c r="I392" s="28"/>
      <c r="J392" s="14"/>
      <c r="K392" s="28"/>
      <c r="L392" s="14"/>
      <c r="M392" s="28"/>
      <c r="N392" s="14"/>
      <c r="O392" s="28"/>
      <c r="P392" s="66"/>
      <c r="Q392" s="64"/>
      <c r="R392" s="64"/>
    </row>
    <row r="393" spans="2:18" ht="30" x14ac:dyDescent="0.25">
      <c r="B393" s="69" t="s">
        <v>87</v>
      </c>
      <c r="C393" s="70" t="s">
        <v>93</v>
      </c>
      <c r="D393" s="69" t="s">
        <v>87</v>
      </c>
      <c r="E393" s="70" t="s">
        <v>88</v>
      </c>
      <c r="F393" s="69" t="s">
        <v>87</v>
      </c>
      <c r="G393" s="70" t="s">
        <v>88</v>
      </c>
      <c r="H393" s="69" t="s">
        <v>87</v>
      </c>
      <c r="I393" s="70" t="s">
        <v>88</v>
      </c>
      <c r="J393" s="69" t="s">
        <v>87</v>
      </c>
      <c r="K393" s="70" t="s">
        <v>88</v>
      </c>
      <c r="L393" s="69" t="s">
        <v>87</v>
      </c>
      <c r="M393" s="70" t="s">
        <v>88</v>
      </c>
      <c r="N393" s="14"/>
      <c r="O393" s="46"/>
      <c r="P393" s="66"/>
      <c r="Q393" s="64"/>
      <c r="R393" s="64"/>
    </row>
    <row r="394" spans="2:18" x14ac:dyDescent="0.25">
      <c r="B394" s="14"/>
      <c r="C394" s="22"/>
      <c r="D394" s="14"/>
      <c r="E394" s="35"/>
      <c r="F394" s="14"/>
      <c r="G394" s="28"/>
      <c r="H394" s="14"/>
      <c r="I394" s="28"/>
      <c r="J394" s="14"/>
      <c r="K394" s="28"/>
      <c r="L394" s="14"/>
      <c r="M394" s="35"/>
      <c r="N394" s="14"/>
      <c r="O394" s="28"/>
      <c r="P394" s="66"/>
      <c r="Q394" s="64"/>
      <c r="R394" s="64"/>
    </row>
    <row r="395" spans="2:18" x14ac:dyDescent="0.25">
      <c r="B395" s="14"/>
      <c r="C395" s="22"/>
      <c r="D395" s="14"/>
      <c r="E395" s="35"/>
      <c r="F395" s="14"/>
      <c r="G395" s="28"/>
      <c r="H395" s="14"/>
      <c r="I395" s="28"/>
      <c r="J395" s="14"/>
      <c r="K395" s="28"/>
      <c r="L395" s="14"/>
      <c r="M395" s="35"/>
      <c r="N395" s="14"/>
      <c r="O395" s="20"/>
      <c r="P395" s="66"/>
      <c r="Q395" s="64"/>
      <c r="R395" s="64"/>
    </row>
    <row r="396" spans="2:18" x14ac:dyDescent="0.25">
      <c r="B396" s="14"/>
      <c r="C396" s="20"/>
      <c r="D396" s="14"/>
      <c r="E396" s="20"/>
      <c r="F396" s="14"/>
      <c r="G396" s="20"/>
      <c r="H396" s="14"/>
      <c r="I396" s="20"/>
      <c r="J396" s="14"/>
      <c r="K396" s="20"/>
      <c r="L396" s="14"/>
      <c r="M396" s="20"/>
      <c r="N396" s="14"/>
      <c r="O396" s="20"/>
      <c r="P396" s="66"/>
      <c r="Q396" s="64"/>
      <c r="R396" s="64"/>
    </row>
    <row r="397" spans="2:18" x14ac:dyDescent="0.25">
      <c r="B397" s="14"/>
      <c r="C397" s="12"/>
      <c r="D397" s="14"/>
      <c r="E397" s="12"/>
      <c r="F397" s="14"/>
      <c r="G397" s="12"/>
      <c r="H397" s="14"/>
      <c r="I397" s="12"/>
      <c r="J397" s="14"/>
      <c r="K397" s="12"/>
      <c r="L397" s="14"/>
      <c r="M397" s="12"/>
      <c r="N397" s="14"/>
      <c r="O397" s="12"/>
      <c r="P397" s="66"/>
      <c r="Q397" s="64"/>
      <c r="R397" s="64"/>
    </row>
    <row r="398" spans="2:18" x14ac:dyDescent="0.25">
      <c r="B398" s="19"/>
      <c r="C398" s="12"/>
      <c r="D398" s="19"/>
      <c r="E398" s="12"/>
      <c r="F398" s="19"/>
      <c r="G398" s="12"/>
      <c r="H398" s="19"/>
      <c r="I398" s="12"/>
      <c r="J398" s="19"/>
      <c r="K398" s="12"/>
      <c r="L398" s="19"/>
      <c r="M398" s="12"/>
      <c r="N398" s="19"/>
      <c r="O398" s="12"/>
      <c r="P398" s="66"/>
      <c r="Q398" s="64"/>
      <c r="R398" s="64"/>
    </row>
    <row r="399" spans="2:18" x14ac:dyDescent="0.25">
      <c r="B399" s="24" t="s">
        <v>13</v>
      </c>
      <c r="C399" s="12"/>
      <c r="D399" s="24" t="s">
        <v>13</v>
      </c>
      <c r="E399" s="12"/>
      <c r="F399" s="24" t="s">
        <v>13</v>
      </c>
      <c r="G399" s="12"/>
      <c r="H399" s="24" t="s">
        <v>13</v>
      </c>
      <c r="I399" s="12"/>
      <c r="J399" s="24" t="s">
        <v>13</v>
      </c>
      <c r="K399" s="12"/>
      <c r="L399" s="24" t="s">
        <v>13</v>
      </c>
      <c r="M399" s="12"/>
      <c r="N399" s="24" t="s">
        <v>13</v>
      </c>
      <c r="O399" s="12"/>
      <c r="P399" s="66" t="s">
        <v>67</v>
      </c>
      <c r="Q399" s="64"/>
      <c r="R399" s="64"/>
    </row>
    <row r="400" spans="2:18" ht="15.75" thickBot="1" x14ac:dyDescent="0.3">
      <c r="B400" s="25">
        <f>SUM(B383:B391)+B397</f>
        <v>690</v>
      </c>
      <c r="C400" s="26"/>
      <c r="D400" s="25">
        <f>SUM(D383:D392)+D397</f>
        <v>840</v>
      </c>
      <c r="E400" s="26"/>
      <c r="F400" s="25">
        <f>SUM(F383:F392)+F397</f>
        <v>930</v>
      </c>
      <c r="G400" s="26"/>
      <c r="H400" s="25">
        <f>SUM(H383:H390)+H397</f>
        <v>870</v>
      </c>
      <c r="I400" s="26"/>
      <c r="J400" s="25">
        <f>SUM(J383:J390)+J397</f>
        <v>760</v>
      </c>
      <c r="K400" s="26"/>
      <c r="L400" s="25">
        <f>SUM(L383:L392)+L397</f>
        <v>870</v>
      </c>
      <c r="M400" s="26"/>
      <c r="N400" s="25">
        <f>SUM(N383:N392)+N397</f>
        <v>820</v>
      </c>
      <c r="O400" s="26"/>
      <c r="P400" s="67">
        <f>SUM(B400:O400)/7</f>
        <v>825.71428571428567</v>
      </c>
      <c r="Q400" s="64"/>
      <c r="R400" s="64"/>
    </row>
    <row r="401" spans="2:18" ht="15.75" thickBot="1" x14ac:dyDescent="0.3"/>
    <row r="402" spans="2:18" x14ac:dyDescent="0.25">
      <c r="B402" s="73">
        <v>46000</v>
      </c>
      <c r="C402" s="74"/>
      <c r="D402" s="73">
        <v>46001</v>
      </c>
      <c r="E402" s="74"/>
      <c r="F402" s="73">
        <v>46002</v>
      </c>
      <c r="G402" s="74"/>
      <c r="H402" s="73">
        <v>46003</v>
      </c>
      <c r="I402" s="74"/>
      <c r="J402" s="73">
        <v>46004</v>
      </c>
      <c r="K402" s="74"/>
      <c r="L402" s="73">
        <v>46005</v>
      </c>
      <c r="M402" s="74"/>
      <c r="N402" s="73">
        <v>46006</v>
      </c>
      <c r="O402" s="74"/>
      <c r="P402" s="66"/>
      <c r="Q402" s="64"/>
      <c r="R402" s="64"/>
    </row>
    <row r="403" spans="2:18" x14ac:dyDescent="0.25">
      <c r="B403" s="3" t="s">
        <v>11</v>
      </c>
      <c r="C403" s="4" t="s">
        <v>12</v>
      </c>
      <c r="D403" s="3" t="s">
        <v>11</v>
      </c>
      <c r="E403" s="4" t="s">
        <v>12</v>
      </c>
      <c r="F403" s="3" t="s">
        <v>11</v>
      </c>
      <c r="G403" s="4" t="s">
        <v>12</v>
      </c>
      <c r="H403" s="3" t="s">
        <v>11</v>
      </c>
      <c r="I403" s="4" t="s">
        <v>12</v>
      </c>
      <c r="J403" s="3" t="s">
        <v>11</v>
      </c>
      <c r="K403" s="4" t="s">
        <v>12</v>
      </c>
      <c r="L403" s="3" t="s">
        <v>11</v>
      </c>
      <c r="M403" s="4" t="s">
        <v>12</v>
      </c>
      <c r="N403" s="3" t="s">
        <v>11</v>
      </c>
      <c r="O403" s="4" t="s">
        <v>12</v>
      </c>
      <c r="P403" s="66"/>
      <c r="Q403" s="64"/>
      <c r="R403" s="64"/>
    </row>
    <row r="404" spans="2:18" x14ac:dyDescent="0.25">
      <c r="B404" s="47">
        <v>140</v>
      </c>
      <c r="C404" s="28">
        <v>0.125</v>
      </c>
      <c r="D404" s="47">
        <v>150</v>
      </c>
      <c r="E404" s="28">
        <v>0.15625</v>
      </c>
      <c r="F404" s="47">
        <v>90</v>
      </c>
      <c r="G404" s="28">
        <v>7.2916666666666671E-2</v>
      </c>
      <c r="H404" s="47">
        <v>150</v>
      </c>
      <c r="I404" s="28">
        <v>0.10416666666666667</v>
      </c>
      <c r="J404" s="47">
        <v>150</v>
      </c>
      <c r="K404" s="28">
        <v>0.20833333333333334</v>
      </c>
      <c r="L404" s="47">
        <v>150</v>
      </c>
      <c r="M404" s="28">
        <v>0.17708333333333334</v>
      </c>
      <c r="N404" s="29">
        <v>150</v>
      </c>
      <c r="O404" s="28">
        <v>0.125</v>
      </c>
      <c r="P404" s="66"/>
      <c r="Q404" s="64"/>
      <c r="R404" s="64"/>
    </row>
    <row r="405" spans="2:18" x14ac:dyDescent="0.25">
      <c r="B405" s="47">
        <v>150</v>
      </c>
      <c r="C405" s="28">
        <v>0.34375</v>
      </c>
      <c r="D405" s="47">
        <v>120</v>
      </c>
      <c r="E405" s="28">
        <v>0.29166666666666669</v>
      </c>
      <c r="F405" s="47">
        <v>150</v>
      </c>
      <c r="G405" s="28">
        <v>0.23958333333333334</v>
      </c>
      <c r="H405" s="47">
        <v>120</v>
      </c>
      <c r="I405" s="28">
        <v>0.25</v>
      </c>
      <c r="J405" s="47">
        <v>140</v>
      </c>
      <c r="K405" s="28">
        <v>0.33333333333333331</v>
      </c>
      <c r="L405" s="47">
        <v>150</v>
      </c>
      <c r="M405" s="28">
        <v>0.32291666666666669</v>
      </c>
      <c r="N405" s="29">
        <v>150</v>
      </c>
      <c r="O405" s="28">
        <v>0.27083333333333331</v>
      </c>
      <c r="P405" s="66"/>
      <c r="Q405" s="64"/>
      <c r="R405" s="64"/>
    </row>
    <row r="406" spans="2:18" x14ac:dyDescent="0.25">
      <c r="B406" s="47">
        <v>150</v>
      </c>
      <c r="C406" s="28">
        <v>0.53125</v>
      </c>
      <c r="D406" s="47">
        <v>90</v>
      </c>
      <c r="E406" s="28">
        <v>0.57291666666666663</v>
      </c>
      <c r="F406" s="47">
        <v>140</v>
      </c>
      <c r="G406" s="28">
        <v>0.375</v>
      </c>
      <c r="H406" s="47">
        <v>140</v>
      </c>
      <c r="I406" s="28">
        <v>0.34375</v>
      </c>
      <c r="J406" s="47">
        <v>150</v>
      </c>
      <c r="K406" s="28">
        <v>0.54166666666666663</v>
      </c>
      <c r="L406" s="47">
        <v>60</v>
      </c>
      <c r="M406" s="28">
        <v>0.46875</v>
      </c>
      <c r="N406" s="29">
        <v>120</v>
      </c>
      <c r="O406" s="28">
        <v>0.41666666666666669</v>
      </c>
      <c r="P406" s="66"/>
      <c r="Q406" s="64"/>
      <c r="R406" s="64"/>
    </row>
    <row r="407" spans="2:18" x14ac:dyDescent="0.25">
      <c r="B407" s="47">
        <v>150</v>
      </c>
      <c r="C407" s="28">
        <v>0.64583333333333337</v>
      </c>
      <c r="D407" s="47">
        <v>120</v>
      </c>
      <c r="E407" s="28">
        <v>0.65625</v>
      </c>
      <c r="F407" s="47">
        <v>150</v>
      </c>
      <c r="G407" s="28">
        <v>0.5625</v>
      </c>
      <c r="H407" s="47">
        <v>150</v>
      </c>
      <c r="I407" s="28">
        <v>0.52083333333333337</v>
      </c>
      <c r="J407" s="47">
        <v>60</v>
      </c>
      <c r="K407" s="32">
        <v>0.66666666666666663</v>
      </c>
      <c r="L407" s="47">
        <v>150</v>
      </c>
      <c r="M407" s="36">
        <v>0.5625</v>
      </c>
      <c r="N407" s="29">
        <v>150</v>
      </c>
      <c r="O407" s="28">
        <v>0.54166666666666663</v>
      </c>
      <c r="P407" s="66"/>
      <c r="Q407" s="71" t="s">
        <v>78</v>
      </c>
      <c r="R407" s="71"/>
    </row>
    <row r="408" spans="2:18" x14ac:dyDescent="0.25">
      <c r="B408" s="47">
        <v>150</v>
      </c>
      <c r="C408" s="28">
        <v>0.8125</v>
      </c>
      <c r="D408" s="47">
        <v>150</v>
      </c>
      <c r="E408" s="28">
        <v>0.80208333333333337</v>
      </c>
      <c r="F408" s="47">
        <v>60</v>
      </c>
      <c r="G408" s="28">
        <v>0.69791666666666663</v>
      </c>
      <c r="H408" s="47">
        <v>60</v>
      </c>
      <c r="I408" s="28">
        <v>0.6875</v>
      </c>
      <c r="J408" s="47">
        <v>30</v>
      </c>
      <c r="K408" s="32">
        <v>0.77083333333333337</v>
      </c>
      <c r="L408" s="47">
        <v>150</v>
      </c>
      <c r="M408" s="36">
        <v>0.70833333333333337</v>
      </c>
      <c r="N408" s="29">
        <v>150</v>
      </c>
      <c r="O408" s="28">
        <v>0.65625</v>
      </c>
      <c r="P408" s="66"/>
      <c r="Q408" s="77" t="s">
        <v>75</v>
      </c>
      <c r="R408" s="77"/>
    </row>
    <row r="409" spans="2:18" x14ac:dyDescent="0.25">
      <c r="B409" s="47">
        <v>150</v>
      </c>
      <c r="C409" s="28">
        <v>0.47916666666666669</v>
      </c>
      <c r="D409" s="47">
        <v>150</v>
      </c>
      <c r="E409" s="28">
        <v>0.92708333333333337</v>
      </c>
      <c r="F409" s="47">
        <v>120</v>
      </c>
      <c r="G409" s="28">
        <v>0.80208333333333337</v>
      </c>
      <c r="H409" s="47">
        <v>150</v>
      </c>
      <c r="I409" s="28">
        <v>0.83333333333333337</v>
      </c>
      <c r="J409" s="47">
        <v>150</v>
      </c>
      <c r="K409" s="32">
        <v>0.86458333333333337</v>
      </c>
      <c r="L409" s="47">
        <v>180</v>
      </c>
      <c r="M409" s="36">
        <v>0.90625</v>
      </c>
      <c r="N409" s="29">
        <v>150</v>
      </c>
      <c r="O409" s="28">
        <v>0.89583333333333337</v>
      </c>
      <c r="P409" s="66"/>
      <c r="Q409" s="64"/>
      <c r="R409" s="64"/>
    </row>
    <row r="410" spans="2:18" x14ac:dyDescent="0.25">
      <c r="B410" s="14"/>
      <c r="C410" s="28"/>
      <c r="D410" s="31"/>
      <c r="E410" s="28"/>
      <c r="F410" s="47">
        <v>150</v>
      </c>
      <c r="G410" s="28">
        <v>0.94791666666666663</v>
      </c>
      <c r="H410" s="47">
        <v>150</v>
      </c>
      <c r="I410" s="28">
        <v>0.98958333333333337</v>
      </c>
      <c r="J410" s="47">
        <v>180</v>
      </c>
      <c r="K410" s="32">
        <v>0.98958333333333337</v>
      </c>
      <c r="L410" s="14"/>
      <c r="M410" s="36"/>
      <c r="N410" s="29">
        <v>150</v>
      </c>
      <c r="O410" s="28">
        <v>0.96875</v>
      </c>
      <c r="P410" s="66"/>
      <c r="Q410" s="64"/>
      <c r="R410" s="64"/>
    </row>
    <row r="411" spans="2:18" x14ac:dyDescent="0.25">
      <c r="B411" s="14"/>
      <c r="C411" s="28"/>
      <c r="D411" s="14"/>
      <c r="E411" s="28"/>
      <c r="F411" s="40"/>
      <c r="G411" s="28"/>
      <c r="H411" s="40"/>
      <c r="I411" s="28"/>
      <c r="J411" s="14"/>
      <c r="K411" s="28"/>
      <c r="L411" s="14"/>
      <c r="M411" s="36"/>
      <c r="N411" s="14"/>
      <c r="O411" s="28"/>
      <c r="P411" s="66"/>
      <c r="Q411" s="64"/>
      <c r="R411" s="64"/>
    </row>
    <row r="412" spans="2:18" ht="30" x14ac:dyDescent="0.25">
      <c r="B412" s="69" t="s">
        <v>89</v>
      </c>
      <c r="C412" s="70" t="s">
        <v>88</v>
      </c>
      <c r="D412" s="14"/>
      <c r="E412" s="35"/>
      <c r="F412" s="69" t="s">
        <v>89</v>
      </c>
      <c r="G412" s="70" t="s">
        <v>88</v>
      </c>
      <c r="H412" s="40"/>
      <c r="I412" s="28"/>
      <c r="J412" s="69" t="s">
        <v>89</v>
      </c>
      <c r="K412" s="70" t="s">
        <v>88</v>
      </c>
      <c r="L412" s="69" t="s">
        <v>89</v>
      </c>
      <c r="M412" s="70" t="s">
        <v>88</v>
      </c>
      <c r="N412" s="14"/>
      <c r="O412" s="28"/>
      <c r="P412" s="66"/>
      <c r="Q412" s="64"/>
      <c r="R412" s="64"/>
    </row>
    <row r="413" spans="2:18" x14ac:dyDescent="0.25">
      <c r="B413" s="14"/>
      <c r="C413" s="28"/>
      <c r="D413" s="14"/>
      <c r="E413" s="28"/>
      <c r="F413" s="40"/>
      <c r="G413" s="28"/>
      <c r="H413" s="40"/>
      <c r="I413" s="28"/>
      <c r="J413" s="14"/>
      <c r="K413" s="28"/>
      <c r="L413" s="14"/>
      <c r="M413" s="28"/>
      <c r="N413" s="14"/>
      <c r="O413" s="28"/>
      <c r="P413" s="66"/>
      <c r="Q413" s="64"/>
      <c r="R413" s="64"/>
    </row>
    <row r="414" spans="2:18" x14ac:dyDescent="0.25">
      <c r="B414" s="14"/>
      <c r="C414" s="52"/>
      <c r="D414" s="14"/>
      <c r="E414" s="46"/>
      <c r="F414" s="40"/>
      <c r="G414" s="28"/>
      <c r="H414" s="40"/>
      <c r="I414" s="28"/>
      <c r="J414" s="14"/>
      <c r="K414" s="46"/>
      <c r="L414" s="14"/>
      <c r="M414" s="46"/>
      <c r="N414" s="14"/>
      <c r="O414" s="46"/>
      <c r="P414" s="66"/>
      <c r="Q414" s="64"/>
      <c r="R414" s="64"/>
    </row>
    <row r="415" spans="2:18" x14ac:dyDescent="0.25">
      <c r="B415" s="14"/>
      <c r="C415" s="22"/>
      <c r="D415" s="14"/>
      <c r="E415" s="35"/>
      <c r="F415" s="14"/>
      <c r="G415" s="28"/>
      <c r="H415" s="14"/>
      <c r="I415" s="28"/>
      <c r="J415" s="14"/>
      <c r="K415" s="28"/>
      <c r="L415" s="14"/>
      <c r="M415" s="35"/>
      <c r="N415" s="14"/>
      <c r="O415" s="28"/>
      <c r="P415" s="66"/>
      <c r="Q415" s="64"/>
      <c r="R415" s="64"/>
    </row>
    <row r="416" spans="2:18" x14ac:dyDescent="0.25">
      <c r="B416" s="14"/>
      <c r="C416" s="22"/>
      <c r="D416" s="14"/>
      <c r="E416" s="35"/>
      <c r="F416" s="14"/>
      <c r="G416" s="28"/>
      <c r="H416" s="14"/>
      <c r="I416" s="28"/>
      <c r="J416" s="14"/>
      <c r="K416" s="28"/>
      <c r="L416" s="14"/>
      <c r="M416" s="35"/>
      <c r="N416" s="14"/>
      <c r="O416" s="20"/>
      <c r="P416" s="66"/>
      <c r="Q416" s="64"/>
      <c r="R416" s="64"/>
    </row>
    <row r="417" spans="2:18" x14ac:dyDescent="0.25">
      <c r="B417" s="14"/>
      <c r="C417" s="20"/>
      <c r="D417" s="14"/>
      <c r="E417" s="20"/>
      <c r="F417" s="14"/>
      <c r="G417" s="20"/>
      <c r="H417" s="14"/>
      <c r="I417" s="20"/>
      <c r="J417" s="14"/>
      <c r="K417" s="20"/>
      <c r="L417" s="14"/>
      <c r="M417" s="20"/>
      <c r="N417" s="14"/>
      <c r="O417" s="20"/>
      <c r="P417" s="66"/>
      <c r="Q417" s="64"/>
      <c r="R417" s="64"/>
    </row>
    <row r="418" spans="2:18" x14ac:dyDescent="0.25">
      <c r="B418" s="14"/>
      <c r="C418" s="12"/>
      <c r="D418" s="14"/>
      <c r="E418" s="12"/>
      <c r="F418" s="14"/>
      <c r="G418" s="12"/>
      <c r="H418" s="14"/>
      <c r="I418" s="12"/>
      <c r="J418" s="14"/>
      <c r="K418" s="12"/>
      <c r="L418" s="14"/>
      <c r="M418" s="12"/>
      <c r="N418" s="14"/>
      <c r="O418" s="12"/>
      <c r="P418" s="66"/>
      <c r="Q418" s="64"/>
      <c r="R418" s="64"/>
    </row>
    <row r="419" spans="2:18" x14ac:dyDescent="0.25">
      <c r="B419" s="19"/>
      <c r="C419" s="12"/>
      <c r="D419" s="19"/>
      <c r="E419" s="12"/>
      <c r="F419" s="19"/>
      <c r="G419" s="12"/>
      <c r="H419" s="19"/>
      <c r="I419" s="12"/>
      <c r="J419" s="19"/>
      <c r="K419" s="12"/>
      <c r="L419" s="19"/>
      <c r="M419" s="12"/>
      <c r="N419" s="19"/>
      <c r="O419" s="12"/>
      <c r="P419" s="66"/>
      <c r="Q419" s="64"/>
      <c r="R419" s="64"/>
    </row>
    <row r="420" spans="2:18" x14ac:dyDescent="0.25">
      <c r="B420" s="24" t="s">
        <v>13</v>
      </c>
      <c r="C420" s="12"/>
      <c r="D420" s="24" t="s">
        <v>13</v>
      </c>
      <c r="E420" s="12"/>
      <c r="F420" s="24" t="s">
        <v>13</v>
      </c>
      <c r="G420" s="12"/>
      <c r="H420" s="24" t="s">
        <v>13</v>
      </c>
      <c r="I420" s="12"/>
      <c r="J420" s="24" t="s">
        <v>13</v>
      </c>
      <c r="K420" s="12"/>
      <c r="L420" s="24" t="s">
        <v>13</v>
      </c>
      <c r="M420" s="12"/>
      <c r="N420" s="24" t="s">
        <v>13</v>
      </c>
      <c r="O420" s="12"/>
      <c r="P420" s="66" t="s">
        <v>67</v>
      </c>
      <c r="Q420" s="64"/>
      <c r="R420" s="64"/>
    </row>
    <row r="421" spans="2:18" ht="15.75" thickBot="1" x14ac:dyDescent="0.3">
      <c r="B421" s="25">
        <f>SUM(B404:B412)+B418</f>
        <v>890</v>
      </c>
      <c r="C421" s="26"/>
      <c r="D421" s="25">
        <f>SUM(D404:D413)+D418</f>
        <v>780</v>
      </c>
      <c r="E421" s="26"/>
      <c r="F421" s="25">
        <f>SUM(F404:F413)+F418</f>
        <v>860</v>
      </c>
      <c r="G421" s="26"/>
      <c r="H421" s="25">
        <f>SUM(H404:H411)+H418</f>
        <v>920</v>
      </c>
      <c r="I421" s="26"/>
      <c r="J421" s="25">
        <f>SUM(J404:J411)+J418</f>
        <v>860</v>
      </c>
      <c r="K421" s="26"/>
      <c r="L421" s="25">
        <f>SUM(L404:L413)+L418</f>
        <v>840</v>
      </c>
      <c r="M421" s="26"/>
      <c r="N421" s="25">
        <f>SUM(N404:N413)+N418</f>
        <v>1020</v>
      </c>
      <c r="O421" s="26"/>
      <c r="P421" s="67">
        <f>SUM(B421:O421)/7</f>
        <v>881.42857142857144</v>
      </c>
      <c r="Q421" s="64"/>
      <c r="R421" s="64"/>
    </row>
    <row r="422" spans="2:18" ht="15.75" thickBot="1" x14ac:dyDescent="0.3"/>
    <row r="423" spans="2:18" x14ac:dyDescent="0.25">
      <c r="B423" s="73">
        <v>46007</v>
      </c>
      <c r="C423" s="74"/>
      <c r="D423" s="73">
        <v>46008</v>
      </c>
      <c r="E423" s="74"/>
      <c r="F423" s="73">
        <v>46009</v>
      </c>
      <c r="G423" s="74"/>
      <c r="H423" s="73">
        <v>46010</v>
      </c>
      <c r="I423" s="74"/>
      <c r="J423" s="73">
        <v>46011</v>
      </c>
      <c r="K423" s="74"/>
      <c r="L423" s="73">
        <v>46012</v>
      </c>
      <c r="M423" s="74"/>
      <c r="N423" s="73">
        <v>46013</v>
      </c>
      <c r="O423" s="74"/>
      <c r="P423" s="66"/>
      <c r="Q423" s="64"/>
      <c r="R423" s="64"/>
    </row>
    <row r="424" spans="2:18" x14ac:dyDescent="0.25">
      <c r="B424" s="3" t="s">
        <v>11</v>
      </c>
      <c r="C424" s="4" t="s">
        <v>12</v>
      </c>
      <c r="D424" s="3" t="s">
        <v>11</v>
      </c>
      <c r="E424" s="4" t="s">
        <v>12</v>
      </c>
      <c r="F424" s="3" t="s">
        <v>11</v>
      </c>
      <c r="G424" s="4" t="s">
        <v>12</v>
      </c>
      <c r="H424" s="3" t="s">
        <v>11</v>
      </c>
      <c r="I424" s="4" t="s">
        <v>12</v>
      </c>
      <c r="J424" s="3" t="s">
        <v>11</v>
      </c>
      <c r="K424" s="4" t="s">
        <v>12</v>
      </c>
      <c r="L424" s="3" t="s">
        <v>11</v>
      </c>
      <c r="M424" s="4" t="s">
        <v>12</v>
      </c>
      <c r="N424" s="3" t="s">
        <v>11</v>
      </c>
      <c r="O424" s="4" t="s">
        <v>12</v>
      </c>
      <c r="P424" s="66"/>
      <c r="Q424" s="64"/>
      <c r="R424" s="64"/>
    </row>
    <row r="425" spans="2:18" x14ac:dyDescent="0.25">
      <c r="B425" s="47">
        <v>150</v>
      </c>
      <c r="C425" s="28">
        <v>0.19791666666666666</v>
      </c>
      <c r="D425" s="47">
        <v>150</v>
      </c>
      <c r="E425" s="28">
        <v>0.1875</v>
      </c>
      <c r="F425" s="47">
        <v>110</v>
      </c>
      <c r="G425" s="28">
        <v>5.2083333333333336E-2</v>
      </c>
      <c r="H425" s="47">
        <v>150</v>
      </c>
      <c r="I425" s="28">
        <v>1.0416666666666666E-2</v>
      </c>
      <c r="J425" s="47">
        <v>150</v>
      </c>
      <c r="K425" s="28">
        <v>0.52083333333333337</v>
      </c>
      <c r="L425" s="47">
        <v>130</v>
      </c>
      <c r="M425" s="28">
        <v>0.17708333333333334</v>
      </c>
      <c r="N425" s="29">
        <v>150</v>
      </c>
      <c r="O425" s="28">
        <v>2.0833333333333332E-2</v>
      </c>
      <c r="P425" s="66"/>
      <c r="Q425" s="64"/>
      <c r="R425" s="64"/>
    </row>
    <row r="426" spans="2:18" x14ac:dyDescent="0.25">
      <c r="B426" s="47">
        <v>140</v>
      </c>
      <c r="C426" s="28">
        <v>0.36458333333333331</v>
      </c>
      <c r="D426" s="47">
        <v>150</v>
      </c>
      <c r="E426" s="28">
        <v>0.30208333333333331</v>
      </c>
      <c r="F426" s="47">
        <v>130</v>
      </c>
      <c r="G426" s="28">
        <v>0.23958333333333334</v>
      </c>
      <c r="H426" s="47">
        <v>150</v>
      </c>
      <c r="I426" s="28">
        <v>0.20833333333333334</v>
      </c>
      <c r="J426" s="63">
        <v>120</v>
      </c>
      <c r="K426" s="28">
        <v>0.1875</v>
      </c>
      <c r="L426" s="47">
        <v>150</v>
      </c>
      <c r="M426" s="28">
        <v>0.33333333333333331</v>
      </c>
      <c r="N426" s="63">
        <v>150</v>
      </c>
      <c r="O426" s="28">
        <v>0.17708333333333334</v>
      </c>
      <c r="P426" s="66"/>
      <c r="Q426" s="64"/>
      <c r="R426" s="64"/>
    </row>
    <row r="427" spans="2:18" x14ac:dyDescent="0.25">
      <c r="B427" s="47">
        <v>60</v>
      </c>
      <c r="C427" s="28">
        <v>0.51041666666666663</v>
      </c>
      <c r="D427" s="47">
        <v>60</v>
      </c>
      <c r="E427" s="28">
        <v>0.54166666666666663</v>
      </c>
      <c r="F427" s="47">
        <v>150</v>
      </c>
      <c r="G427" s="28">
        <v>0.47916666666666669</v>
      </c>
      <c r="H427" s="47">
        <v>150</v>
      </c>
      <c r="I427" s="28">
        <v>0.32291666666666669</v>
      </c>
      <c r="J427" s="47">
        <v>150</v>
      </c>
      <c r="K427" s="28">
        <v>0.38541666666666669</v>
      </c>
      <c r="L427" s="63">
        <v>150</v>
      </c>
      <c r="M427" s="28">
        <v>0.5</v>
      </c>
      <c r="N427" s="63">
        <v>150</v>
      </c>
      <c r="O427" s="28">
        <v>0.3125</v>
      </c>
      <c r="P427" s="66"/>
      <c r="Q427" s="64"/>
      <c r="R427" s="64"/>
    </row>
    <row r="428" spans="2:18" x14ac:dyDescent="0.25">
      <c r="B428" s="47">
        <v>150</v>
      </c>
      <c r="C428" s="28">
        <v>0.60416666666666663</v>
      </c>
      <c r="D428" s="63">
        <v>150</v>
      </c>
      <c r="E428" s="28">
        <v>0.60416666666666663</v>
      </c>
      <c r="F428" s="63">
        <v>150</v>
      </c>
      <c r="G428" s="28">
        <v>0.13541666666666666</v>
      </c>
      <c r="H428" s="63">
        <v>150</v>
      </c>
      <c r="I428" s="28">
        <v>0.15625</v>
      </c>
      <c r="J428" s="47">
        <v>150</v>
      </c>
      <c r="K428" s="32">
        <v>0.53125</v>
      </c>
      <c r="L428" s="47">
        <v>150</v>
      </c>
      <c r="M428" s="36">
        <v>0.65625</v>
      </c>
      <c r="N428" s="63">
        <v>180</v>
      </c>
      <c r="O428" s="28">
        <v>0.58333333333333337</v>
      </c>
      <c r="P428" s="66"/>
      <c r="Q428" s="71" t="s">
        <v>78</v>
      </c>
      <c r="R428" s="71"/>
    </row>
    <row r="429" spans="2:18" x14ac:dyDescent="0.25">
      <c r="B429" s="63">
        <v>150</v>
      </c>
      <c r="C429" s="28">
        <v>0.69791666666666663</v>
      </c>
      <c r="D429" s="63">
        <v>150</v>
      </c>
      <c r="E429" s="28">
        <v>0.75</v>
      </c>
      <c r="F429" s="47">
        <v>150</v>
      </c>
      <c r="G429" s="28">
        <v>0.88541666666666663</v>
      </c>
      <c r="H429" s="63">
        <v>180</v>
      </c>
      <c r="I429" s="28">
        <v>0.30208333333333331</v>
      </c>
      <c r="J429" s="63">
        <v>210</v>
      </c>
      <c r="K429" s="32">
        <v>0.77083333333333337</v>
      </c>
      <c r="L429" s="63">
        <v>120</v>
      </c>
      <c r="M429" s="36">
        <v>0.86458333333333337</v>
      </c>
      <c r="N429" s="29">
        <v>150</v>
      </c>
      <c r="O429" s="28">
        <v>0.85416666666666663</v>
      </c>
      <c r="P429" s="66"/>
      <c r="Q429" s="72" t="s">
        <v>79</v>
      </c>
      <c r="R429" s="72"/>
    </row>
    <row r="430" spans="2:18" x14ac:dyDescent="0.25">
      <c r="B430" s="47">
        <v>120</v>
      </c>
      <c r="C430" s="28">
        <v>0.86458333333333337</v>
      </c>
      <c r="D430" s="47">
        <v>150</v>
      </c>
      <c r="E430" s="28">
        <v>0.9375</v>
      </c>
      <c r="F430" s="40"/>
      <c r="G430" s="28"/>
      <c r="H430" s="47">
        <v>60</v>
      </c>
      <c r="I430" s="28">
        <v>0.95833333333333337</v>
      </c>
      <c r="J430" s="47">
        <v>210</v>
      </c>
      <c r="K430" s="32">
        <v>0.96527777777777779</v>
      </c>
      <c r="L430" s="14"/>
      <c r="M430" s="36"/>
      <c r="N430" s="14"/>
      <c r="O430" s="28"/>
      <c r="P430" s="66"/>
      <c r="Q430" s="77" t="s">
        <v>75</v>
      </c>
      <c r="R430" s="77"/>
    </row>
    <row r="431" spans="2:18" x14ac:dyDescent="0.25">
      <c r="B431" s="14"/>
      <c r="C431" s="28"/>
      <c r="D431" s="31"/>
      <c r="E431" s="28"/>
      <c r="F431" s="40"/>
      <c r="G431" s="28"/>
      <c r="H431" s="40"/>
      <c r="I431" s="28"/>
      <c r="J431" s="14"/>
      <c r="K431" s="32"/>
      <c r="L431" s="14"/>
      <c r="M431" s="36"/>
      <c r="N431" s="14"/>
      <c r="O431" s="28"/>
      <c r="P431" s="66"/>
      <c r="Q431" s="64"/>
      <c r="R431" s="64"/>
    </row>
    <row r="432" spans="2:18" x14ac:dyDescent="0.25">
      <c r="B432" s="14"/>
      <c r="C432" s="28"/>
      <c r="D432" s="14"/>
      <c r="E432" s="28"/>
      <c r="F432" s="40"/>
      <c r="G432" s="28"/>
      <c r="H432" s="40"/>
      <c r="I432" s="28"/>
      <c r="J432" s="14"/>
      <c r="K432" s="28"/>
      <c r="L432" s="14"/>
      <c r="M432" s="36"/>
      <c r="N432" s="14"/>
      <c r="O432" s="28"/>
      <c r="P432" s="66"/>
      <c r="Q432" s="64"/>
      <c r="R432" s="64"/>
    </row>
    <row r="433" spans="2:18" ht="30" x14ac:dyDescent="0.25">
      <c r="B433" s="69" t="s">
        <v>89</v>
      </c>
      <c r="C433" s="70" t="s">
        <v>88</v>
      </c>
      <c r="D433" s="14"/>
      <c r="E433" s="28"/>
      <c r="F433" s="69" t="s">
        <v>89</v>
      </c>
      <c r="G433" s="70" t="s">
        <v>88</v>
      </c>
      <c r="H433" s="40"/>
      <c r="I433" s="28"/>
      <c r="J433" s="69" t="s">
        <v>89</v>
      </c>
      <c r="K433" s="70" t="s">
        <v>88</v>
      </c>
      <c r="L433" s="14"/>
      <c r="N433" s="69" t="s">
        <v>89</v>
      </c>
      <c r="O433" s="70" t="s">
        <v>88</v>
      </c>
      <c r="P433" s="66"/>
      <c r="Q433" s="64"/>
      <c r="R433" s="64"/>
    </row>
    <row r="434" spans="2:18" x14ac:dyDescent="0.25">
      <c r="B434" s="14"/>
      <c r="C434" s="28"/>
      <c r="D434" s="14"/>
      <c r="E434" s="28"/>
      <c r="F434" s="40"/>
      <c r="G434" s="28"/>
      <c r="H434" s="40"/>
      <c r="I434" s="28"/>
      <c r="J434" s="14"/>
      <c r="K434" s="28"/>
      <c r="L434" s="14"/>
      <c r="M434" s="28"/>
      <c r="N434" s="14"/>
      <c r="O434" s="28"/>
      <c r="P434" s="66"/>
      <c r="Q434" s="64"/>
      <c r="R434" s="64"/>
    </row>
    <row r="435" spans="2:18" x14ac:dyDescent="0.25">
      <c r="B435" s="14"/>
      <c r="C435" s="52"/>
      <c r="D435" s="14"/>
      <c r="E435" s="46"/>
      <c r="F435" s="40"/>
      <c r="G435" s="28"/>
      <c r="H435" s="40"/>
      <c r="I435" s="28"/>
      <c r="J435" s="14"/>
      <c r="K435" s="46"/>
      <c r="L435" s="14"/>
      <c r="M435" s="46"/>
      <c r="N435" s="14"/>
      <c r="O435" s="46"/>
      <c r="P435" s="66"/>
      <c r="Q435" s="64"/>
      <c r="R435" s="64"/>
    </row>
    <row r="436" spans="2:18" x14ac:dyDescent="0.25">
      <c r="B436" s="14"/>
      <c r="C436" s="22"/>
      <c r="D436" s="14"/>
      <c r="E436" s="35"/>
      <c r="F436" s="14"/>
      <c r="G436" s="28"/>
      <c r="H436" s="14"/>
      <c r="I436" s="28"/>
      <c r="J436" s="14"/>
      <c r="K436" s="28"/>
      <c r="L436" s="14"/>
      <c r="M436" s="35"/>
      <c r="N436" s="14"/>
      <c r="O436" s="28"/>
      <c r="P436" s="66"/>
      <c r="Q436" s="64"/>
      <c r="R436" s="64"/>
    </row>
    <row r="437" spans="2:18" x14ac:dyDescent="0.25">
      <c r="B437" s="14"/>
      <c r="C437" s="22"/>
      <c r="D437" s="14"/>
      <c r="E437" s="35"/>
      <c r="F437" s="14"/>
      <c r="G437" s="28"/>
      <c r="H437" s="14"/>
      <c r="I437" s="28"/>
      <c r="J437" s="14"/>
      <c r="K437" s="28"/>
      <c r="L437" s="14"/>
      <c r="M437" s="35"/>
      <c r="N437" s="14"/>
      <c r="O437" s="20"/>
      <c r="P437" s="66"/>
      <c r="Q437" s="64"/>
      <c r="R437" s="64"/>
    </row>
    <row r="438" spans="2:18" x14ac:dyDescent="0.25">
      <c r="B438" s="14"/>
      <c r="C438" s="20"/>
      <c r="D438" s="14"/>
      <c r="E438" s="20"/>
      <c r="F438" s="14"/>
      <c r="G438" s="20"/>
      <c r="H438" s="14"/>
      <c r="I438" s="20"/>
      <c r="J438" s="14"/>
      <c r="K438" s="20"/>
      <c r="L438" s="14"/>
      <c r="M438" s="20"/>
      <c r="N438" s="14"/>
      <c r="O438" s="20"/>
      <c r="P438" s="66"/>
      <c r="Q438" s="64"/>
      <c r="R438" s="64"/>
    </row>
    <row r="439" spans="2:18" x14ac:dyDescent="0.25">
      <c r="B439" s="14"/>
      <c r="C439" s="12"/>
      <c r="D439" s="14"/>
      <c r="E439" s="12"/>
      <c r="F439" s="14"/>
      <c r="G439" s="12"/>
      <c r="H439" s="14"/>
      <c r="I439" s="12"/>
      <c r="J439" s="14"/>
      <c r="K439" s="12"/>
      <c r="L439" s="14"/>
      <c r="M439" s="12"/>
      <c r="N439" s="14"/>
      <c r="O439" s="12"/>
      <c r="P439" s="66"/>
      <c r="Q439" s="64"/>
      <c r="R439" s="64"/>
    </row>
    <row r="440" spans="2:18" x14ac:dyDescent="0.25">
      <c r="B440" s="19"/>
      <c r="C440" s="12"/>
      <c r="D440" s="19"/>
      <c r="E440" s="12"/>
      <c r="F440" s="19"/>
      <c r="G440" s="12"/>
      <c r="H440" s="19"/>
      <c r="I440" s="12"/>
      <c r="J440" s="19"/>
      <c r="K440" s="12"/>
      <c r="L440" s="19"/>
      <c r="M440" s="12"/>
      <c r="N440" s="19"/>
      <c r="O440" s="12"/>
      <c r="P440" s="66"/>
      <c r="Q440" s="64"/>
      <c r="R440" s="64"/>
    </row>
    <row r="441" spans="2:18" x14ac:dyDescent="0.25">
      <c r="B441" s="24" t="s">
        <v>13</v>
      </c>
      <c r="C441" s="12"/>
      <c r="D441" s="24" t="s">
        <v>13</v>
      </c>
      <c r="E441" s="12"/>
      <c r="F441" s="24" t="s">
        <v>13</v>
      </c>
      <c r="G441" s="12"/>
      <c r="H441" s="24" t="s">
        <v>13</v>
      </c>
      <c r="I441" s="12"/>
      <c r="J441" s="24" t="s">
        <v>13</v>
      </c>
      <c r="K441" s="12"/>
      <c r="L441" s="24" t="s">
        <v>13</v>
      </c>
      <c r="M441" s="12"/>
      <c r="N441" s="24" t="s">
        <v>13</v>
      </c>
      <c r="O441" s="12"/>
      <c r="P441" s="66" t="s">
        <v>67</v>
      </c>
      <c r="Q441" s="64"/>
      <c r="R441" s="64"/>
    </row>
    <row r="442" spans="2:18" ht="15.75" thickBot="1" x14ac:dyDescent="0.3">
      <c r="B442" s="25">
        <f>SUM(B425:B433)+B439</f>
        <v>770</v>
      </c>
      <c r="C442" s="26"/>
      <c r="D442" s="25">
        <f>SUM(D425:D434)+D439</f>
        <v>810</v>
      </c>
      <c r="E442" s="26"/>
      <c r="F442" s="25">
        <f>SUM(F425:F434)+F439</f>
        <v>690</v>
      </c>
      <c r="G442" s="26"/>
      <c r="H442" s="25">
        <f>SUM(H425:H432)+H439</f>
        <v>840</v>
      </c>
      <c r="I442" s="26"/>
      <c r="J442" s="25">
        <f>SUM(J425:J432)+J439</f>
        <v>990</v>
      </c>
      <c r="K442" s="26"/>
      <c r="L442" s="25">
        <f>SUM(L425:L434)+L439</f>
        <v>700</v>
      </c>
      <c r="M442" s="26"/>
      <c r="N442" s="25">
        <f>SUM(N425:N434)+N439</f>
        <v>780</v>
      </c>
      <c r="O442" s="26"/>
      <c r="P442" s="67">
        <f>SUM(B442:O442)/7</f>
        <v>797.14285714285711</v>
      </c>
      <c r="Q442" s="64"/>
      <c r="R442" s="64"/>
    </row>
    <row r="443" spans="2:18" ht="15.75" thickBot="1" x14ac:dyDescent="0.3"/>
    <row r="444" spans="2:18" x14ac:dyDescent="0.25">
      <c r="B444" s="73">
        <v>46014</v>
      </c>
      <c r="C444" s="74"/>
      <c r="D444" s="73">
        <v>46015</v>
      </c>
      <c r="E444" s="74"/>
      <c r="F444" s="73">
        <v>46016</v>
      </c>
      <c r="G444" s="74"/>
      <c r="H444" s="73">
        <v>46017</v>
      </c>
      <c r="I444" s="74"/>
      <c r="J444" s="73">
        <v>46018</v>
      </c>
      <c r="K444" s="74"/>
      <c r="L444" s="73">
        <v>46019</v>
      </c>
      <c r="M444" s="74"/>
      <c r="N444" s="73">
        <v>46020</v>
      </c>
      <c r="O444" s="74"/>
      <c r="P444" s="66"/>
      <c r="Q444" s="64"/>
      <c r="R444" s="64"/>
    </row>
    <row r="445" spans="2:18" x14ac:dyDescent="0.25">
      <c r="B445" s="3" t="s">
        <v>11</v>
      </c>
      <c r="C445" s="4" t="s">
        <v>12</v>
      </c>
      <c r="D445" s="3" t="s">
        <v>11</v>
      </c>
      <c r="E445" s="4" t="s">
        <v>12</v>
      </c>
      <c r="F445" s="3" t="s">
        <v>11</v>
      </c>
      <c r="G445" s="4" t="s">
        <v>12</v>
      </c>
      <c r="H445" s="3" t="s">
        <v>11</v>
      </c>
      <c r="I445" s="4" t="s">
        <v>12</v>
      </c>
      <c r="J445" s="3" t="s">
        <v>11</v>
      </c>
      <c r="K445" s="4" t="s">
        <v>12</v>
      </c>
      <c r="L445" s="3" t="s">
        <v>11</v>
      </c>
      <c r="M445" s="4" t="s">
        <v>12</v>
      </c>
      <c r="N445" s="3" t="s">
        <v>11</v>
      </c>
      <c r="O445" s="4" t="s">
        <v>12</v>
      </c>
      <c r="P445" s="66"/>
      <c r="Q445" s="64"/>
      <c r="R445" s="64"/>
    </row>
    <row r="446" spans="2:18" x14ac:dyDescent="0.25">
      <c r="B446" s="63">
        <v>150</v>
      </c>
      <c r="C446" s="28">
        <v>2.0833333333333332E-2</v>
      </c>
      <c r="D446" s="47">
        <v>180</v>
      </c>
      <c r="E446" s="28">
        <v>9.375E-2</v>
      </c>
      <c r="F446" s="47">
        <v>90</v>
      </c>
      <c r="G446" s="28">
        <v>0.1875</v>
      </c>
      <c r="H446" s="47">
        <v>150</v>
      </c>
      <c r="I446" s="28">
        <v>0.16666666666666666</v>
      </c>
      <c r="J446" s="47">
        <v>150</v>
      </c>
      <c r="K446" s="28">
        <v>0.21875</v>
      </c>
      <c r="L446" s="47">
        <v>150</v>
      </c>
      <c r="M446" s="28">
        <v>0.13541666666666666</v>
      </c>
      <c r="N446" s="29">
        <v>150</v>
      </c>
      <c r="O446" s="28">
        <v>0.14583333333333334</v>
      </c>
      <c r="P446" s="66"/>
      <c r="Q446" s="64"/>
      <c r="R446" s="64"/>
    </row>
    <row r="447" spans="2:18" x14ac:dyDescent="0.25">
      <c r="B447" s="47">
        <v>150</v>
      </c>
      <c r="C447" s="28">
        <v>0.17708333333333334</v>
      </c>
      <c r="D447" s="47">
        <v>80</v>
      </c>
      <c r="E447" s="28">
        <v>0.26041666666666669</v>
      </c>
      <c r="F447" s="47">
        <v>120</v>
      </c>
      <c r="G447" s="28">
        <v>0.41666666666666669</v>
      </c>
      <c r="H447" s="47">
        <v>150</v>
      </c>
      <c r="I447" s="28">
        <v>0.29166666666666669</v>
      </c>
      <c r="J447" s="63">
        <v>150</v>
      </c>
      <c r="K447" s="28">
        <v>0.375</v>
      </c>
      <c r="L447" s="63">
        <v>150</v>
      </c>
      <c r="M447" s="28">
        <v>0.27152777777777776</v>
      </c>
      <c r="N447" s="29">
        <v>150</v>
      </c>
      <c r="O447" s="28">
        <v>0.28125</v>
      </c>
      <c r="P447" s="66"/>
      <c r="Q447" s="64"/>
      <c r="R447" s="64"/>
    </row>
    <row r="448" spans="2:18" x14ac:dyDescent="0.25">
      <c r="B448" s="63">
        <v>150</v>
      </c>
      <c r="C448" s="28">
        <v>0.3125</v>
      </c>
      <c r="D448" s="47">
        <v>150</v>
      </c>
      <c r="E448" s="28">
        <v>0.38541666666666669</v>
      </c>
      <c r="F448" s="47">
        <v>180</v>
      </c>
      <c r="G448" s="28">
        <v>0.60416666666666663</v>
      </c>
      <c r="H448" s="47">
        <v>60</v>
      </c>
      <c r="I448" s="28">
        <v>0.44791666666666669</v>
      </c>
      <c r="J448" s="47">
        <v>180</v>
      </c>
      <c r="K448" s="28">
        <v>0.60416666666666663</v>
      </c>
      <c r="L448" s="47">
        <v>120</v>
      </c>
      <c r="M448" s="28">
        <v>0.38541666666666669</v>
      </c>
      <c r="N448" s="63">
        <v>120</v>
      </c>
      <c r="O448" s="28">
        <v>0.4375</v>
      </c>
      <c r="P448" s="66"/>
      <c r="Q448" s="64"/>
      <c r="R448" s="64"/>
    </row>
    <row r="449" spans="2:18" x14ac:dyDescent="0.25">
      <c r="B449" s="47">
        <v>180</v>
      </c>
      <c r="C449" s="28">
        <v>0.5625</v>
      </c>
      <c r="D449" s="63">
        <v>180</v>
      </c>
      <c r="E449" s="28">
        <v>0.5625</v>
      </c>
      <c r="F449" s="63">
        <v>210</v>
      </c>
      <c r="G449" s="28">
        <v>0.8125</v>
      </c>
      <c r="H449" s="63">
        <v>210</v>
      </c>
      <c r="I449" s="28">
        <v>0.61458333333333337</v>
      </c>
      <c r="J449" s="47">
        <v>180</v>
      </c>
      <c r="K449" s="32">
        <v>0.75</v>
      </c>
      <c r="L449" s="47">
        <v>210</v>
      </c>
      <c r="M449" s="36">
        <v>0.52083333333333337</v>
      </c>
      <c r="N449" s="63">
        <v>150</v>
      </c>
      <c r="O449" s="28">
        <v>0.5625</v>
      </c>
      <c r="P449" s="66"/>
      <c r="Q449" s="71" t="s">
        <v>78</v>
      </c>
      <c r="R449" s="71"/>
    </row>
    <row r="450" spans="2:18" x14ac:dyDescent="0.25">
      <c r="B450" s="63">
        <v>160</v>
      </c>
      <c r="C450" s="28">
        <v>0.79166666666666663</v>
      </c>
      <c r="D450" s="63">
        <v>180</v>
      </c>
      <c r="E450" s="28">
        <v>0.77083333333333337</v>
      </c>
      <c r="F450" s="47">
        <v>150</v>
      </c>
      <c r="G450" s="28">
        <v>0.98958333333333337</v>
      </c>
      <c r="H450" s="63">
        <v>180</v>
      </c>
      <c r="I450" s="28">
        <v>0.82291666666666663</v>
      </c>
      <c r="J450" s="63">
        <v>180</v>
      </c>
      <c r="K450" s="32">
        <v>0.95833333333333337</v>
      </c>
      <c r="L450" s="63">
        <v>210</v>
      </c>
      <c r="M450" s="36">
        <v>0.6875</v>
      </c>
      <c r="N450" s="29">
        <v>140</v>
      </c>
      <c r="O450" s="28">
        <v>0.77083333333333337</v>
      </c>
      <c r="P450" s="66"/>
      <c r="Q450" s="72" t="s">
        <v>79</v>
      </c>
      <c r="R450" s="72"/>
    </row>
    <row r="451" spans="2:18" x14ac:dyDescent="0.25">
      <c r="B451" s="47">
        <v>150</v>
      </c>
      <c r="C451" s="28">
        <v>0.91666666666666663</v>
      </c>
      <c r="D451" s="47">
        <v>180</v>
      </c>
      <c r="E451" s="28">
        <v>0.96875</v>
      </c>
      <c r="F451" s="40"/>
      <c r="G451" s="28"/>
      <c r="H451" s="47">
        <v>150</v>
      </c>
      <c r="I451" s="28">
        <v>0.98958333333333337</v>
      </c>
      <c r="J451" s="14"/>
      <c r="K451" s="32"/>
      <c r="L451" s="47">
        <v>140</v>
      </c>
      <c r="M451" s="36">
        <v>0.875</v>
      </c>
      <c r="N451" s="29">
        <v>90</v>
      </c>
      <c r="O451" s="28">
        <v>0.89583333333333337</v>
      </c>
      <c r="P451" s="66"/>
      <c r="Q451" s="77" t="s">
        <v>75</v>
      </c>
      <c r="R451" s="77"/>
    </row>
    <row r="452" spans="2:18" x14ac:dyDescent="0.25">
      <c r="B452" s="14"/>
      <c r="C452" s="28"/>
      <c r="D452" s="31"/>
      <c r="E452" s="28"/>
      <c r="F452" s="40"/>
      <c r="G452" s="28"/>
      <c r="H452" s="40"/>
      <c r="I452" s="28"/>
      <c r="J452" s="14"/>
      <c r="K452" s="32"/>
      <c r="L452" s="29">
        <v>180</v>
      </c>
      <c r="M452" s="36">
        <v>0.95833333333333337</v>
      </c>
      <c r="N452" s="14"/>
      <c r="O452" s="28"/>
      <c r="P452" s="66"/>
      <c r="Q452" s="64"/>
      <c r="R452" s="64"/>
    </row>
    <row r="453" spans="2:18" x14ac:dyDescent="0.25">
      <c r="B453" s="14"/>
      <c r="C453" s="28"/>
      <c r="D453" s="14"/>
      <c r="E453" s="28"/>
      <c r="F453" s="40"/>
      <c r="G453" s="28"/>
      <c r="H453" s="40"/>
      <c r="I453" s="28"/>
      <c r="J453" s="14"/>
      <c r="K453" s="28"/>
      <c r="L453" s="14"/>
      <c r="M453" s="36"/>
      <c r="N453" s="14"/>
      <c r="O453" s="28"/>
      <c r="P453" s="66"/>
      <c r="Q453" s="64"/>
      <c r="R453" s="64"/>
    </row>
    <row r="454" spans="2:18" ht="30" x14ac:dyDescent="0.25">
      <c r="B454" s="69" t="s">
        <v>89</v>
      </c>
      <c r="C454" s="70" t="s">
        <v>88</v>
      </c>
      <c r="D454" s="14"/>
      <c r="E454" s="28"/>
      <c r="F454" s="69" t="s">
        <v>89</v>
      </c>
      <c r="G454" s="70" t="s">
        <v>88</v>
      </c>
      <c r="H454" s="40"/>
      <c r="I454" s="28"/>
      <c r="J454" s="69" t="s">
        <v>89</v>
      </c>
      <c r="K454" s="70" t="s">
        <v>88</v>
      </c>
      <c r="L454" s="14"/>
      <c r="N454" s="69" t="s">
        <v>89</v>
      </c>
      <c r="O454" s="70" t="s">
        <v>88</v>
      </c>
      <c r="P454" s="66"/>
      <c r="Q454" s="64"/>
      <c r="R454" s="64"/>
    </row>
    <row r="455" spans="2:18" x14ac:dyDescent="0.25">
      <c r="B455" s="14"/>
      <c r="C455" s="28"/>
      <c r="D455" s="14"/>
      <c r="E455" s="28"/>
      <c r="F455" s="40"/>
      <c r="G455" s="28"/>
      <c r="H455" s="40"/>
      <c r="I455" s="28"/>
      <c r="J455" s="14"/>
      <c r="K455" s="28"/>
      <c r="L455" s="14"/>
      <c r="M455" s="28"/>
      <c r="N455" s="14"/>
      <c r="O455" s="28"/>
      <c r="P455" s="66"/>
      <c r="Q455" s="64"/>
      <c r="R455" s="64"/>
    </row>
    <row r="456" spans="2:18" x14ac:dyDescent="0.25">
      <c r="B456" s="14"/>
      <c r="C456" s="52"/>
      <c r="D456" s="14"/>
      <c r="E456" s="46"/>
      <c r="F456" s="40"/>
      <c r="G456" s="28"/>
      <c r="H456" s="40"/>
      <c r="I456" s="28"/>
      <c r="J456" s="14"/>
      <c r="K456" s="46"/>
      <c r="L456" s="14"/>
      <c r="M456" s="46"/>
      <c r="N456" s="14"/>
      <c r="O456" s="46"/>
      <c r="P456" s="66"/>
      <c r="Q456" s="64"/>
      <c r="R456" s="64"/>
    </row>
    <row r="457" spans="2:18" x14ac:dyDescent="0.25">
      <c r="B457" s="14"/>
      <c r="C457" s="22"/>
      <c r="D457" s="14"/>
      <c r="E457" s="35"/>
      <c r="F457" s="14"/>
      <c r="G457" s="28"/>
      <c r="H457" s="14"/>
      <c r="I457" s="28"/>
      <c r="J457" s="14"/>
      <c r="K457" s="28"/>
      <c r="L457" s="14"/>
      <c r="M457" s="35"/>
      <c r="N457" s="14"/>
      <c r="O457" s="28"/>
      <c r="P457" s="66"/>
      <c r="Q457" s="64"/>
      <c r="R457" s="64"/>
    </row>
    <row r="458" spans="2:18" x14ac:dyDescent="0.25">
      <c r="B458" s="14"/>
      <c r="C458" s="22"/>
      <c r="D458" s="14"/>
      <c r="E458" s="35"/>
      <c r="F458" s="14"/>
      <c r="G458" s="28"/>
      <c r="H458" s="14"/>
      <c r="I458" s="28"/>
      <c r="J458" s="14"/>
      <c r="K458" s="28"/>
      <c r="L458" s="14"/>
      <c r="M458" s="35"/>
      <c r="N458" s="14"/>
      <c r="O458" s="20"/>
      <c r="P458" s="66"/>
      <c r="Q458" s="64"/>
      <c r="R458" s="64"/>
    </row>
    <row r="459" spans="2:18" x14ac:dyDescent="0.25">
      <c r="B459" s="14"/>
      <c r="C459" s="20"/>
      <c r="D459" s="14"/>
      <c r="E459" s="20"/>
      <c r="F459" s="14"/>
      <c r="G459" s="20"/>
      <c r="H459" s="14"/>
      <c r="I459" s="20"/>
      <c r="J459" s="14"/>
      <c r="K459" s="20"/>
      <c r="L459" s="14"/>
      <c r="M459" s="20"/>
      <c r="N459" s="14"/>
      <c r="O459" s="20"/>
      <c r="P459" s="66"/>
      <c r="Q459" s="64"/>
      <c r="R459" s="64"/>
    </row>
    <row r="460" spans="2:18" x14ac:dyDescent="0.25">
      <c r="B460" s="14"/>
      <c r="C460" s="12"/>
      <c r="D460" s="14"/>
      <c r="E460" s="12"/>
      <c r="F460" s="14"/>
      <c r="G460" s="12"/>
      <c r="H460" s="14"/>
      <c r="I460" s="12"/>
      <c r="J460" s="14"/>
      <c r="K460" s="12"/>
      <c r="L460" s="14"/>
      <c r="M460" s="12"/>
      <c r="N460" s="14"/>
      <c r="O460" s="12"/>
      <c r="P460" s="66"/>
      <c r="Q460" s="64"/>
      <c r="R460" s="64"/>
    </row>
    <row r="461" spans="2:18" x14ac:dyDescent="0.25">
      <c r="B461" s="19"/>
      <c r="C461" s="12"/>
      <c r="D461" s="19"/>
      <c r="E461" s="12"/>
      <c r="F461" s="19"/>
      <c r="G461" s="12"/>
      <c r="H461" s="19"/>
      <c r="I461" s="12"/>
      <c r="J461" s="19"/>
      <c r="K461" s="12"/>
      <c r="L461" s="19"/>
      <c r="M461" s="12"/>
      <c r="N461" s="19"/>
      <c r="O461" s="12"/>
      <c r="P461" s="66"/>
      <c r="Q461" s="64"/>
      <c r="R461" s="64"/>
    </row>
    <row r="462" spans="2:18" x14ac:dyDescent="0.25">
      <c r="B462" s="24" t="s">
        <v>13</v>
      </c>
      <c r="C462" s="12"/>
      <c r="D462" s="24" t="s">
        <v>13</v>
      </c>
      <c r="E462" s="12"/>
      <c r="F462" s="24" t="s">
        <v>13</v>
      </c>
      <c r="G462" s="12"/>
      <c r="H462" s="24" t="s">
        <v>13</v>
      </c>
      <c r="I462" s="12"/>
      <c r="J462" s="24" t="s">
        <v>13</v>
      </c>
      <c r="K462" s="12"/>
      <c r="L462" s="24" t="s">
        <v>13</v>
      </c>
      <c r="M462" s="12"/>
      <c r="N462" s="24" t="s">
        <v>13</v>
      </c>
      <c r="O462" s="12"/>
      <c r="P462" s="66" t="s">
        <v>67</v>
      </c>
      <c r="Q462" s="64"/>
      <c r="R462" s="64"/>
    </row>
    <row r="463" spans="2:18" ht="15.75" thickBot="1" x14ac:dyDescent="0.3">
      <c r="B463" s="25">
        <f>SUM(B446:B454)+B460</f>
        <v>940</v>
      </c>
      <c r="C463" s="26"/>
      <c r="D463" s="25">
        <f>SUM(D446:D455)+D460</f>
        <v>950</v>
      </c>
      <c r="E463" s="26"/>
      <c r="F463" s="25">
        <f>SUM(F446:F455)+F460</f>
        <v>750</v>
      </c>
      <c r="G463" s="26"/>
      <c r="H463" s="25">
        <f>SUM(H446:H453)+H460</f>
        <v>900</v>
      </c>
      <c r="I463" s="26"/>
      <c r="J463" s="25">
        <f>SUM(J446:J453)+J460</f>
        <v>840</v>
      </c>
      <c r="K463" s="26"/>
      <c r="L463" s="25">
        <f>SUM(L446:L455)+L460</f>
        <v>1160</v>
      </c>
      <c r="M463" s="26"/>
      <c r="N463" s="25">
        <f>SUM(N446:N455)+N460</f>
        <v>800</v>
      </c>
      <c r="O463" s="26"/>
      <c r="P463" s="67">
        <f>SUM(B463:O463)/7</f>
        <v>905.71428571428567</v>
      </c>
      <c r="Q463" s="64"/>
      <c r="R463" s="64"/>
    </row>
    <row r="464" spans="2:18" ht="15.75" thickBot="1" x14ac:dyDescent="0.3"/>
    <row r="465" spans="2:18" x14ac:dyDescent="0.25">
      <c r="B465" s="73">
        <v>46021</v>
      </c>
      <c r="C465" s="74"/>
      <c r="D465" s="73">
        <v>46022</v>
      </c>
      <c r="E465" s="74"/>
      <c r="F465" s="73">
        <v>46023</v>
      </c>
      <c r="G465" s="74"/>
      <c r="H465" s="73">
        <v>46024</v>
      </c>
      <c r="I465" s="74"/>
      <c r="J465" s="73">
        <v>46025</v>
      </c>
      <c r="K465" s="74"/>
      <c r="L465" s="73">
        <v>46026</v>
      </c>
      <c r="M465" s="74"/>
      <c r="N465" s="73">
        <v>46027</v>
      </c>
      <c r="O465" s="74"/>
      <c r="P465" s="66"/>
      <c r="Q465" s="64"/>
      <c r="R465" s="64"/>
    </row>
    <row r="466" spans="2:18" x14ac:dyDescent="0.25">
      <c r="B466" s="3" t="s">
        <v>11</v>
      </c>
      <c r="C466" s="4" t="s">
        <v>12</v>
      </c>
      <c r="D466" s="3" t="s">
        <v>11</v>
      </c>
      <c r="E466" s="4" t="s">
        <v>12</v>
      </c>
      <c r="F466" s="3" t="s">
        <v>11</v>
      </c>
      <c r="G466" s="4" t="s">
        <v>12</v>
      </c>
      <c r="H466" s="3" t="s">
        <v>11</v>
      </c>
      <c r="I466" s="4" t="s">
        <v>12</v>
      </c>
      <c r="J466" s="3" t="s">
        <v>11</v>
      </c>
      <c r="K466" s="4" t="s">
        <v>12</v>
      </c>
      <c r="L466" s="3" t="s">
        <v>11</v>
      </c>
      <c r="M466" s="4" t="s">
        <v>12</v>
      </c>
      <c r="N466" s="3" t="s">
        <v>11</v>
      </c>
      <c r="O466" s="4" t="s">
        <v>12</v>
      </c>
      <c r="P466" s="66"/>
      <c r="Q466" s="64"/>
      <c r="R466" s="64"/>
    </row>
    <row r="467" spans="2:18" x14ac:dyDescent="0.25">
      <c r="B467" s="63">
        <v>150</v>
      </c>
      <c r="C467" s="28">
        <v>0.17708333333333334</v>
      </c>
      <c r="D467" s="47">
        <v>150</v>
      </c>
      <c r="E467" s="28">
        <v>0.21875</v>
      </c>
      <c r="F467" s="29">
        <v>150</v>
      </c>
      <c r="G467" s="28">
        <v>5.2083333333333336E-2</v>
      </c>
      <c r="H467" s="29">
        <v>120</v>
      </c>
      <c r="I467" s="28">
        <v>7.2916666666666671E-2</v>
      </c>
      <c r="J467" s="29">
        <v>150</v>
      </c>
      <c r="K467" s="28">
        <v>0.1875</v>
      </c>
      <c r="L467" s="47">
        <v>150</v>
      </c>
      <c r="M467" s="28">
        <v>0.10416666666666667</v>
      </c>
      <c r="N467" s="29">
        <v>120</v>
      </c>
      <c r="O467" s="28">
        <v>0.16666666666666666</v>
      </c>
      <c r="P467" s="66"/>
      <c r="Q467" s="64"/>
      <c r="R467" s="64"/>
    </row>
    <row r="468" spans="2:18" x14ac:dyDescent="0.25">
      <c r="B468" s="47">
        <v>150</v>
      </c>
      <c r="C468" s="28">
        <v>0.34375</v>
      </c>
      <c r="D468" s="47">
        <v>150</v>
      </c>
      <c r="E468" s="28">
        <v>0.38541666666666669</v>
      </c>
      <c r="F468" s="29">
        <v>130</v>
      </c>
      <c r="G468" s="28">
        <v>0.20833333333333334</v>
      </c>
      <c r="H468" s="29">
        <v>150</v>
      </c>
      <c r="I468" s="28">
        <v>0.19791666666666666</v>
      </c>
      <c r="J468" s="29">
        <v>100</v>
      </c>
      <c r="K468" s="28">
        <v>0.33333333333333331</v>
      </c>
      <c r="L468" s="47">
        <v>90</v>
      </c>
      <c r="M468" s="28">
        <v>0.23958333333333334</v>
      </c>
      <c r="N468" s="29">
        <v>150</v>
      </c>
      <c r="O468" s="28">
        <v>0.27083333333333331</v>
      </c>
      <c r="P468" s="66"/>
      <c r="Q468" s="64"/>
      <c r="R468" s="64"/>
    </row>
    <row r="469" spans="2:18" x14ac:dyDescent="0.25">
      <c r="B469" s="63">
        <v>180</v>
      </c>
      <c r="C469" s="28">
        <v>0.5</v>
      </c>
      <c r="D469" s="47">
        <v>90</v>
      </c>
      <c r="E469" s="28">
        <v>0.46875</v>
      </c>
      <c r="F469" s="29">
        <v>150</v>
      </c>
      <c r="G469" s="28">
        <v>0.36458333333333331</v>
      </c>
      <c r="H469" s="29">
        <v>150</v>
      </c>
      <c r="I469" s="28">
        <v>0.34375</v>
      </c>
      <c r="J469" s="29">
        <v>130</v>
      </c>
      <c r="K469" s="28">
        <v>0.47916666666666669</v>
      </c>
      <c r="L469" s="47">
        <v>150</v>
      </c>
      <c r="M469" s="28">
        <v>0.35416666666666669</v>
      </c>
      <c r="N469" s="29">
        <v>150</v>
      </c>
      <c r="O469" s="28">
        <v>0.4375</v>
      </c>
      <c r="P469" s="66"/>
      <c r="Q469" s="64"/>
      <c r="R469" s="64"/>
    </row>
    <row r="470" spans="2:18" x14ac:dyDescent="0.25">
      <c r="B470" s="47">
        <v>150</v>
      </c>
      <c r="C470" s="28">
        <v>0.70833333333333337</v>
      </c>
      <c r="D470" s="63">
        <v>150</v>
      </c>
      <c r="E470" s="28">
        <v>0.59375</v>
      </c>
      <c r="F470" s="29">
        <v>150</v>
      </c>
      <c r="G470" s="28">
        <v>0.51041666666666663</v>
      </c>
      <c r="H470" s="29">
        <v>90</v>
      </c>
      <c r="I470" s="28">
        <v>0.55208333333333337</v>
      </c>
      <c r="J470" s="29">
        <v>150</v>
      </c>
      <c r="K470" s="32">
        <v>0.59375</v>
      </c>
      <c r="L470" s="47">
        <v>90</v>
      </c>
      <c r="M470" s="36">
        <v>0.54166666666666663</v>
      </c>
      <c r="N470" s="29">
        <v>180</v>
      </c>
      <c r="O470" s="28">
        <v>0.66666666666666663</v>
      </c>
      <c r="P470" s="66"/>
      <c r="Q470" s="71" t="s">
        <v>78</v>
      </c>
      <c r="R470" s="71"/>
    </row>
    <row r="471" spans="2:18" x14ac:dyDescent="0.25">
      <c r="B471" s="63">
        <v>150</v>
      </c>
      <c r="C471" s="28">
        <v>0.83333333333333337</v>
      </c>
      <c r="D471" s="63">
        <v>150</v>
      </c>
      <c r="E471" s="28">
        <v>0.75</v>
      </c>
      <c r="F471" s="29">
        <v>150</v>
      </c>
      <c r="G471" s="28">
        <v>0.69791666666666663</v>
      </c>
      <c r="H471" s="29">
        <v>150</v>
      </c>
      <c r="I471" s="28">
        <v>0.82291666666666663</v>
      </c>
      <c r="J471" s="29">
        <v>150</v>
      </c>
      <c r="K471" s="32">
        <v>0.73958333333333337</v>
      </c>
      <c r="L471" s="47">
        <v>180</v>
      </c>
      <c r="M471" s="36">
        <v>0.75</v>
      </c>
      <c r="N471" s="29">
        <v>120</v>
      </c>
      <c r="O471" s="28">
        <v>0.79166666666666663</v>
      </c>
      <c r="P471" s="66"/>
      <c r="Q471" s="72" t="s">
        <v>79</v>
      </c>
      <c r="R471" s="72"/>
    </row>
    <row r="472" spans="2:18" x14ac:dyDescent="0.25">
      <c r="B472" s="47">
        <v>170</v>
      </c>
      <c r="C472" s="28">
        <v>0.98958333333333337</v>
      </c>
      <c r="D472" s="47">
        <v>140</v>
      </c>
      <c r="E472" s="28">
        <v>0.94791666666666663</v>
      </c>
      <c r="F472" s="29">
        <v>150</v>
      </c>
      <c r="G472" s="28">
        <v>0.92708333333333337</v>
      </c>
      <c r="H472" s="29">
        <v>50</v>
      </c>
      <c r="I472" s="28">
        <v>0.90625</v>
      </c>
      <c r="J472" s="29">
        <v>150</v>
      </c>
      <c r="K472" s="32">
        <v>0.96875</v>
      </c>
      <c r="L472" s="47">
        <v>190</v>
      </c>
      <c r="M472" s="36">
        <v>0.94791666666666663</v>
      </c>
      <c r="N472" s="29">
        <v>120</v>
      </c>
      <c r="O472" s="28">
        <v>0.94791666666666663</v>
      </c>
      <c r="P472" s="66"/>
      <c r="Q472" s="77" t="s">
        <v>75</v>
      </c>
      <c r="R472" s="77"/>
    </row>
    <row r="473" spans="2:18" x14ac:dyDescent="0.25">
      <c r="B473" s="14"/>
      <c r="C473" s="28"/>
      <c r="D473" s="31"/>
      <c r="E473" s="28"/>
      <c r="F473" s="40"/>
      <c r="G473" s="28"/>
      <c r="H473" s="40"/>
      <c r="I473" s="28"/>
      <c r="J473" s="14"/>
      <c r="K473" s="32"/>
      <c r="L473" s="14"/>
      <c r="M473" s="36"/>
      <c r="N473" s="14"/>
      <c r="O473" s="28"/>
      <c r="P473" s="66"/>
      <c r="Q473" s="64"/>
      <c r="R473" s="64"/>
    </row>
    <row r="474" spans="2:18" x14ac:dyDescent="0.25">
      <c r="B474" s="14"/>
      <c r="C474" s="28"/>
      <c r="D474" s="14"/>
      <c r="E474" s="28"/>
      <c r="F474" s="40"/>
      <c r="G474" s="28"/>
      <c r="H474" s="40"/>
      <c r="I474" s="28"/>
      <c r="J474" s="14"/>
      <c r="K474" s="28"/>
      <c r="L474" s="14"/>
      <c r="M474" s="36"/>
      <c r="N474" s="14"/>
      <c r="O474" s="28"/>
      <c r="P474" s="66"/>
      <c r="Q474" s="64"/>
      <c r="R474" s="64"/>
    </row>
    <row r="475" spans="2:18" x14ac:dyDescent="0.25">
      <c r="B475" s="14"/>
      <c r="C475" s="28"/>
      <c r="D475" s="14"/>
      <c r="E475" s="28"/>
      <c r="F475" s="40"/>
      <c r="G475" s="28"/>
      <c r="H475" s="40"/>
      <c r="I475" s="28"/>
      <c r="J475" s="14"/>
      <c r="K475" s="28"/>
      <c r="L475" s="14"/>
      <c r="N475" s="14"/>
      <c r="O475" s="28"/>
      <c r="P475" s="66"/>
      <c r="Q475" s="64"/>
      <c r="R475" s="64"/>
    </row>
    <row r="476" spans="2:18" ht="30" x14ac:dyDescent="0.25">
      <c r="B476" s="69" t="s">
        <v>89</v>
      </c>
      <c r="C476" s="70" t="s">
        <v>88</v>
      </c>
      <c r="D476" s="14"/>
      <c r="E476" s="28"/>
      <c r="F476" s="69" t="s">
        <v>89</v>
      </c>
      <c r="G476" s="70" t="s">
        <v>88</v>
      </c>
      <c r="H476" s="40"/>
      <c r="I476" s="28"/>
      <c r="J476" s="69" t="s">
        <v>89</v>
      </c>
      <c r="K476" s="70" t="s">
        <v>88</v>
      </c>
      <c r="L476" s="14"/>
      <c r="M476" s="28"/>
      <c r="N476" s="69" t="s">
        <v>89</v>
      </c>
      <c r="O476" s="70" t="s">
        <v>88</v>
      </c>
      <c r="P476" s="66"/>
      <c r="Q476" s="64"/>
      <c r="R476" s="64"/>
    </row>
    <row r="477" spans="2:18" ht="60" x14ac:dyDescent="0.25">
      <c r="B477" s="69" t="s">
        <v>90</v>
      </c>
      <c r="C477" s="70" t="s">
        <v>88</v>
      </c>
      <c r="D477" s="14"/>
      <c r="E477" s="46"/>
      <c r="F477" s="69" t="s">
        <v>90</v>
      </c>
      <c r="G477" s="70" t="s">
        <v>88</v>
      </c>
      <c r="H477" s="40"/>
      <c r="I477" s="28"/>
      <c r="J477" s="69" t="s">
        <v>90</v>
      </c>
      <c r="K477" s="70" t="s">
        <v>88</v>
      </c>
      <c r="L477" s="14"/>
      <c r="M477" s="46"/>
      <c r="N477" s="69" t="s">
        <v>91</v>
      </c>
      <c r="O477" s="70" t="s">
        <v>88</v>
      </c>
      <c r="P477" s="66"/>
      <c r="Q477" s="64"/>
      <c r="R477" s="64"/>
    </row>
    <row r="478" spans="2:18" x14ac:dyDescent="0.25">
      <c r="B478" s="14"/>
      <c r="C478" s="22"/>
      <c r="D478" s="14"/>
      <c r="E478" s="35"/>
      <c r="F478" s="14"/>
      <c r="G478" s="28"/>
      <c r="H478" s="14"/>
      <c r="I478" s="28"/>
      <c r="J478" s="14"/>
      <c r="K478" s="28"/>
      <c r="L478" s="14"/>
      <c r="M478" s="35"/>
      <c r="N478" s="14"/>
      <c r="O478" s="28"/>
      <c r="P478" s="66"/>
      <c r="Q478" s="64"/>
      <c r="R478" s="64"/>
    </row>
    <row r="479" spans="2:18" x14ac:dyDescent="0.25">
      <c r="B479" s="14"/>
      <c r="C479" s="22"/>
      <c r="D479" s="14"/>
      <c r="E479" s="35"/>
      <c r="F479" s="14"/>
      <c r="G479" s="28"/>
      <c r="H479" s="14"/>
      <c r="I479" s="28"/>
      <c r="J479" s="14"/>
      <c r="K479" s="28"/>
      <c r="L479" s="14"/>
      <c r="M479" s="35"/>
      <c r="N479" s="14"/>
      <c r="O479" s="20"/>
      <c r="P479" s="66"/>
      <c r="Q479" s="64"/>
      <c r="R479" s="64"/>
    </row>
    <row r="480" spans="2:18" x14ac:dyDescent="0.25">
      <c r="B480" s="14"/>
      <c r="C480" s="20"/>
      <c r="D480" s="14"/>
      <c r="E480" s="20"/>
      <c r="F480" s="14"/>
      <c r="G480" s="20"/>
      <c r="H480" s="14"/>
      <c r="I480" s="20"/>
      <c r="J480" s="14"/>
      <c r="K480" s="20"/>
      <c r="L480" s="14"/>
      <c r="M480" s="20"/>
      <c r="N480" s="14"/>
      <c r="O480" s="20"/>
      <c r="P480" s="66"/>
      <c r="Q480" s="64"/>
      <c r="R480" s="64"/>
    </row>
    <row r="481" spans="2:18" x14ac:dyDescent="0.25">
      <c r="B481" s="14"/>
      <c r="C481" s="12"/>
      <c r="D481" s="14"/>
      <c r="E481" s="12"/>
      <c r="F481" s="14"/>
      <c r="G481" s="12"/>
      <c r="H481" s="14"/>
      <c r="I481" s="12"/>
      <c r="J481" s="14"/>
      <c r="K481" s="12"/>
      <c r="L481" s="14"/>
      <c r="M481" s="12"/>
      <c r="N481" s="14"/>
      <c r="O481" s="12"/>
      <c r="P481" s="66"/>
      <c r="Q481" s="64"/>
      <c r="R481" s="64"/>
    </row>
    <row r="482" spans="2:18" x14ac:dyDescent="0.25">
      <c r="B482" s="19"/>
      <c r="C482" s="12"/>
      <c r="D482" s="19"/>
      <c r="E482" s="12"/>
      <c r="F482" s="19"/>
      <c r="G482" s="12"/>
      <c r="H482" s="19"/>
      <c r="I482" s="12"/>
      <c r="J482" s="19"/>
      <c r="K482" s="12"/>
      <c r="L482" s="19"/>
      <c r="M482" s="12"/>
      <c r="N482" s="19"/>
      <c r="O482" s="12"/>
      <c r="P482" s="66"/>
      <c r="Q482" s="64"/>
      <c r="R482" s="64"/>
    </row>
    <row r="483" spans="2:18" x14ac:dyDescent="0.25">
      <c r="B483" s="24" t="s">
        <v>13</v>
      </c>
      <c r="C483" s="12"/>
      <c r="D483" s="24" t="s">
        <v>13</v>
      </c>
      <c r="E483" s="12"/>
      <c r="F483" s="24" t="s">
        <v>13</v>
      </c>
      <c r="G483" s="12"/>
      <c r="H483" s="24" t="s">
        <v>13</v>
      </c>
      <c r="I483" s="12"/>
      <c r="J483" s="24" t="s">
        <v>13</v>
      </c>
      <c r="K483" s="12"/>
      <c r="L483" s="24" t="s">
        <v>13</v>
      </c>
      <c r="M483" s="12"/>
      <c r="N483" s="24" t="s">
        <v>13</v>
      </c>
      <c r="O483" s="12"/>
      <c r="P483" s="66" t="s">
        <v>67</v>
      </c>
      <c r="Q483" s="64"/>
      <c r="R483" s="64"/>
    </row>
    <row r="484" spans="2:18" ht="15.75" thickBot="1" x14ac:dyDescent="0.3">
      <c r="B484" s="25">
        <f>SUM(B467:B475)+B481</f>
        <v>950</v>
      </c>
      <c r="C484" s="26"/>
      <c r="D484" s="25">
        <f>SUM(D467:D476)+D481</f>
        <v>830</v>
      </c>
      <c r="E484" s="26"/>
      <c r="F484" s="25">
        <f>SUM(F467:F476)+F481</f>
        <v>880</v>
      </c>
      <c r="G484" s="26"/>
      <c r="H484" s="25">
        <f>SUM(H467:H474)+H481</f>
        <v>710</v>
      </c>
      <c r="I484" s="26"/>
      <c r="J484" s="25">
        <f>SUM(J467:J474)+J481</f>
        <v>830</v>
      </c>
      <c r="K484" s="26"/>
      <c r="L484" s="25">
        <f>SUM(L467:L476)+L481</f>
        <v>850</v>
      </c>
      <c r="M484" s="26"/>
      <c r="N484" s="25">
        <f>SUM(N467:N476)+N481</f>
        <v>840</v>
      </c>
      <c r="O484" s="26"/>
      <c r="P484" s="67">
        <f>SUM(B484:O484)/7</f>
        <v>841.42857142857144</v>
      </c>
      <c r="Q484" s="64"/>
      <c r="R484" s="64"/>
    </row>
    <row r="485" spans="2:18" ht="15.75" thickBot="1" x14ac:dyDescent="0.3"/>
    <row r="486" spans="2:18" x14ac:dyDescent="0.25">
      <c r="B486" s="73">
        <v>46028</v>
      </c>
      <c r="C486" s="74"/>
      <c r="D486" s="73">
        <v>46029</v>
      </c>
      <c r="E486" s="74"/>
      <c r="F486" s="73">
        <v>46030</v>
      </c>
      <c r="G486" s="74"/>
      <c r="H486" s="73">
        <v>46031</v>
      </c>
      <c r="I486" s="74"/>
      <c r="J486" s="73">
        <v>46032</v>
      </c>
      <c r="K486" s="74"/>
      <c r="L486" s="73">
        <v>46033</v>
      </c>
      <c r="M486" s="74"/>
      <c r="N486" s="73">
        <v>46034</v>
      </c>
      <c r="O486" s="74"/>
      <c r="P486" s="66"/>
      <c r="Q486" s="64"/>
      <c r="R486" s="64"/>
    </row>
    <row r="487" spans="2:18" x14ac:dyDescent="0.25">
      <c r="B487" s="3" t="s">
        <v>11</v>
      </c>
      <c r="C487" s="4" t="s">
        <v>12</v>
      </c>
      <c r="D487" s="3" t="s">
        <v>11</v>
      </c>
      <c r="E487" s="4" t="s">
        <v>12</v>
      </c>
      <c r="F487" s="3" t="s">
        <v>11</v>
      </c>
      <c r="G487" s="4" t="s">
        <v>12</v>
      </c>
      <c r="H487" s="3" t="s">
        <v>11</v>
      </c>
      <c r="I487" s="4" t="s">
        <v>12</v>
      </c>
      <c r="J487" s="3" t="s">
        <v>11</v>
      </c>
      <c r="K487" s="4" t="s">
        <v>12</v>
      </c>
      <c r="L487" s="3" t="s">
        <v>11</v>
      </c>
      <c r="M487" s="4" t="s">
        <v>12</v>
      </c>
      <c r="N487" s="3" t="s">
        <v>11</v>
      </c>
      <c r="O487" s="4">
        <v>10</v>
      </c>
      <c r="P487" s="66"/>
      <c r="Q487" s="64"/>
      <c r="R487" s="64"/>
    </row>
    <row r="488" spans="2:18" x14ac:dyDescent="0.25">
      <c r="B488" s="47">
        <v>130</v>
      </c>
      <c r="C488" s="28">
        <v>2.0833333333333332E-2</v>
      </c>
      <c r="D488" s="47">
        <v>120</v>
      </c>
      <c r="E488" s="28">
        <v>1.0416666666666666E-2</v>
      </c>
      <c r="F488" s="29">
        <v>120</v>
      </c>
      <c r="G488" s="28">
        <v>2.0833333333333332E-2</v>
      </c>
      <c r="H488" s="29">
        <v>120</v>
      </c>
      <c r="I488" s="28">
        <v>5.2083333333333336E-2</v>
      </c>
      <c r="J488" s="29">
        <v>150</v>
      </c>
      <c r="K488" s="28">
        <v>0.125</v>
      </c>
      <c r="L488" s="47">
        <v>150</v>
      </c>
      <c r="M488" s="28">
        <v>0.10416666666666667</v>
      </c>
      <c r="N488" s="29">
        <v>150</v>
      </c>
      <c r="O488" s="28">
        <v>2.0833333333333332E-2</v>
      </c>
      <c r="P488" s="66"/>
      <c r="Q488" s="64"/>
      <c r="R488" s="64"/>
    </row>
    <row r="489" spans="2:18" x14ac:dyDescent="0.25">
      <c r="B489" s="47">
        <v>150</v>
      </c>
      <c r="C489" s="28">
        <v>0.19791666666666666</v>
      </c>
      <c r="D489" s="47">
        <v>150</v>
      </c>
      <c r="E489" s="28">
        <v>0.125</v>
      </c>
      <c r="F489" s="29">
        <v>150</v>
      </c>
      <c r="G489" s="28">
        <v>0.19791666666666666</v>
      </c>
      <c r="H489" s="29">
        <v>150</v>
      </c>
      <c r="I489" s="28">
        <v>0.17708333333333334</v>
      </c>
      <c r="J489" s="29">
        <v>150</v>
      </c>
      <c r="K489" s="28">
        <v>0.32291666666666669</v>
      </c>
      <c r="L489" s="47">
        <v>80</v>
      </c>
      <c r="M489" s="28">
        <v>0.1875</v>
      </c>
      <c r="N489" s="29">
        <v>150</v>
      </c>
      <c r="O489" s="28">
        <v>0.14583333333333334</v>
      </c>
      <c r="P489" s="66"/>
      <c r="Q489" s="64"/>
      <c r="R489" s="64"/>
    </row>
    <row r="490" spans="2:18" x14ac:dyDescent="0.25">
      <c r="B490" s="47">
        <v>150</v>
      </c>
      <c r="C490" s="28">
        <v>0.3125</v>
      </c>
      <c r="D490" s="47">
        <v>100</v>
      </c>
      <c r="E490" s="28">
        <v>0.40625</v>
      </c>
      <c r="F490" s="29">
        <v>120</v>
      </c>
      <c r="G490" s="28">
        <v>0.33333333333333331</v>
      </c>
      <c r="H490" s="29">
        <v>150</v>
      </c>
      <c r="I490" s="28">
        <v>0.32291666666666669</v>
      </c>
      <c r="J490" s="29">
        <v>90</v>
      </c>
      <c r="K490" s="28">
        <v>0.4375</v>
      </c>
      <c r="L490" s="47">
        <v>150</v>
      </c>
      <c r="M490" s="28">
        <v>0.35416666666666669</v>
      </c>
      <c r="N490" s="29">
        <v>150</v>
      </c>
      <c r="O490" s="28">
        <v>0.33333333333333331</v>
      </c>
      <c r="P490" s="66"/>
      <c r="Q490" s="64"/>
      <c r="R490" s="64"/>
    </row>
    <row r="491" spans="2:18" x14ac:dyDescent="0.25">
      <c r="B491" s="47">
        <v>100</v>
      </c>
      <c r="C491" s="28">
        <v>0.46875</v>
      </c>
      <c r="D491" s="47">
        <v>120</v>
      </c>
      <c r="E491" s="28">
        <v>0.51041666666666663</v>
      </c>
      <c r="F491" s="29">
        <v>100</v>
      </c>
      <c r="G491" s="28">
        <v>0.46875</v>
      </c>
      <c r="H491" s="29">
        <v>90</v>
      </c>
      <c r="I491" s="28">
        <v>0.52083333333333337</v>
      </c>
      <c r="J491" s="29">
        <v>180</v>
      </c>
      <c r="K491" s="32">
        <v>0.55208333333333337</v>
      </c>
      <c r="L491" s="47">
        <v>210</v>
      </c>
      <c r="M491" s="36">
        <v>0.57291666666666663</v>
      </c>
      <c r="N491" s="29">
        <v>90</v>
      </c>
      <c r="O491" s="28">
        <v>0.52083333333333337</v>
      </c>
      <c r="P491" s="66"/>
      <c r="Q491" s="71" t="s">
        <v>78</v>
      </c>
      <c r="R491" s="71"/>
    </row>
    <row r="492" spans="2:18" x14ac:dyDescent="0.25">
      <c r="B492" s="47">
        <v>150</v>
      </c>
      <c r="C492" s="28">
        <v>0.66666666666666663</v>
      </c>
      <c r="D492" s="47">
        <v>140</v>
      </c>
      <c r="E492" s="28">
        <v>0.64583333333333337</v>
      </c>
      <c r="F492" s="29">
        <v>120</v>
      </c>
      <c r="G492" s="28">
        <v>0.58333333333333337</v>
      </c>
      <c r="H492" s="29">
        <v>150</v>
      </c>
      <c r="I492" s="28">
        <v>0.6875</v>
      </c>
      <c r="J492" s="29">
        <v>120</v>
      </c>
      <c r="K492" s="32">
        <v>0.71875</v>
      </c>
      <c r="L492" s="47">
        <v>120</v>
      </c>
      <c r="M492" s="36">
        <v>0.69791666666666663</v>
      </c>
      <c r="N492" s="29">
        <v>120</v>
      </c>
      <c r="O492" s="28">
        <v>0.5625</v>
      </c>
      <c r="P492" s="66"/>
      <c r="Q492" s="64"/>
      <c r="R492" s="64"/>
    </row>
    <row r="493" spans="2:18" x14ac:dyDescent="0.25">
      <c r="B493" s="47">
        <v>180</v>
      </c>
      <c r="C493" s="28">
        <v>0.96527777777777779</v>
      </c>
      <c r="D493" s="47">
        <v>30</v>
      </c>
      <c r="E493" s="28">
        <v>0.76388888888888884</v>
      </c>
      <c r="F493" s="29">
        <v>150</v>
      </c>
      <c r="G493" s="28">
        <v>0.77083333333333337</v>
      </c>
      <c r="H493" s="29">
        <v>150</v>
      </c>
      <c r="I493" s="28">
        <v>0.79166666666666663</v>
      </c>
      <c r="J493" s="29">
        <v>150</v>
      </c>
      <c r="K493" s="32">
        <v>0.92708333333333337</v>
      </c>
      <c r="L493" s="47">
        <v>150</v>
      </c>
      <c r="M493" s="36">
        <v>0.8125</v>
      </c>
      <c r="N493" s="29">
        <v>180</v>
      </c>
      <c r="O493" s="28">
        <v>0.76041666666666663</v>
      </c>
      <c r="P493" s="66"/>
      <c r="Q493" s="64"/>
      <c r="R493" s="64"/>
    </row>
    <row r="494" spans="2:18" x14ac:dyDescent="0.25">
      <c r="B494" s="14"/>
      <c r="C494" s="28"/>
      <c r="D494" s="29">
        <v>150</v>
      </c>
      <c r="E494" s="28">
        <v>0.8125</v>
      </c>
      <c r="F494" s="29">
        <v>90</v>
      </c>
      <c r="G494" s="28">
        <v>0.98958333333333337</v>
      </c>
      <c r="H494" s="29">
        <v>150</v>
      </c>
      <c r="I494" s="28">
        <v>0.96875</v>
      </c>
      <c r="J494" s="14"/>
      <c r="K494" s="32"/>
      <c r="L494" s="29">
        <v>150</v>
      </c>
      <c r="M494" s="36">
        <v>0.9375</v>
      </c>
      <c r="N494" s="29">
        <v>150</v>
      </c>
      <c r="O494" s="28">
        <v>0.90625</v>
      </c>
      <c r="P494" s="66"/>
      <c r="Q494" s="64"/>
      <c r="R494" s="64"/>
    </row>
    <row r="495" spans="2:18" x14ac:dyDescent="0.25">
      <c r="B495" s="14"/>
      <c r="C495" s="28"/>
      <c r="D495" s="29">
        <v>90</v>
      </c>
      <c r="E495" s="28">
        <v>0.95833333333333337</v>
      </c>
      <c r="F495" s="40"/>
      <c r="G495" s="28"/>
      <c r="H495" s="40"/>
      <c r="I495" s="28"/>
      <c r="J495" s="14"/>
      <c r="K495" s="28"/>
      <c r="L495" s="14"/>
      <c r="M495" s="36"/>
      <c r="N495" s="14"/>
      <c r="O495" s="28"/>
      <c r="P495" s="66"/>
      <c r="Q495" s="64"/>
      <c r="R495" s="64"/>
    </row>
    <row r="496" spans="2:18" x14ac:dyDescent="0.25">
      <c r="B496" s="14"/>
      <c r="C496" s="28"/>
      <c r="D496" s="14"/>
      <c r="E496" s="28"/>
      <c r="F496" s="40"/>
      <c r="G496" s="28"/>
      <c r="H496" s="40"/>
      <c r="I496" s="28"/>
      <c r="J496" s="14"/>
      <c r="K496" s="28"/>
      <c r="L496" s="14"/>
      <c r="N496" s="14"/>
      <c r="O496" s="28"/>
      <c r="P496" s="66"/>
      <c r="Q496" s="64"/>
      <c r="R496" s="64"/>
    </row>
    <row r="497" spans="2:18" ht="30" x14ac:dyDescent="0.25">
      <c r="B497" s="14"/>
      <c r="C497" s="28"/>
      <c r="D497" s="69" t="s">
        <v>89</v>
      </c>
      <c r="E497" s="70" t="s">
        <v>88</v>
      </c>
      <c r="F497" s="40"/>
      <c r="G497" s="28"/>
      <c r="H497" s="69" t="s">
        <v>89</v>
      </c>
      <c r="I497" s="70" t="s">
        <v>88</v>
      </c>
      <c r="J497" s="14"/>
      <c r="K497" s="28"/>
      <c r="L497" s="69" t="s">
        <v>89</v>
      </c>
      <c r="M497" s="70" t="s">
        <v>88</v>
      </c>
      <c r="N497" s="14"/>
      <c r="O497" s="28"/>
      <c r="P497" s="66"/>
      <c r="Q497" s="64"/>
      <c r="R497" s="64"/>
    </row>
    <row r="498" spans="2:18" x14ac:dyDescent="0.25">
      <c r="B498" s="14"/>
      <c r="C498" s="52"/>
      <c r="D498" s="14"/>
      <c r="E498" s="46"/>
      <c r="F498" s="40"/>
      <c r="G498" s="28"/>
      <c r="H498" s="40"/>
      <c r="I498" s="28"/>
      <c r="J498" s="14"/>
      <c r="K498" s="46"/>
      <c r="L498" s="14"/>
      <c r="M498" s="46"/>
      <c r="N498" s="14"/>
      <c r="O498" s="46"/>
      <c r="P498" s="66"/>
      <c r="Q498" s="64"/>
      <c r="R498" s="64"/>
    </row>
    <row r="499" spans="2:18" x14ac:dyDescent="0.25">
      <c r="B499" s="14"/>
      <c r="C499" s="22"/>
      <c r="D499" s="14"/>
      <c r="E499" s="35"/>
      <c r="F499" s="14"/>
      <c r="G499" s="28"/>
      <c r="H499" s="14"/>
      <c r="I499" s="28"/>
      <c r="J499" s="14"/>
      <c r="K499" s="28"/>
      <c r="L499" s="14"/>
      <c r="M499" s="35"/>
      <c r="N499" s="14"/>
      <c r="O499" s="28"/>
      <c r="P499" s="66"/>
      <c r="Q499" s="64"/>
      <c r="R499" s="64"/>
    </row>
    <row r="500" spans="2:18" x14ac:dyDescent="0.25">
      <c r="B500" s="14"/>
      <c r="C500" s="22"/>
      <c r="D500" s="14"/>
      <c r="E500" s="35"/>
      <c r="F500" s="14"/>
      <c r="G500" s="28"/>
      <c r="H500" s="14"/>
      <c r="I500" s="28"/>
      <c r="J500" s="14"/>
      <c r="K500" s="28"/>
      <c r="L500" s="14"/>
      <c r="M500" s="35"/>
      <c r="N500" s="14"/>
      <c r="O500" s="20"/>
      <c r="P500" s="66"/>
      <c r="Q500" s="64"/>
      <c r="R500" s="64"/>
    </row>
    <row r="501" spans="2:18" x14ac:dyDescent="0.25">
      <c r="B501" s="14"/>
      <c r="C501" s="20"/>
      <c r="D501" s="14"/>
      <c r="E501" s="20"/>
      <c r="F501" s="14"/>
      <c r="G501" s="20"/>
      <c r="H501" s="14"/>
      <c r="I501" s="20"/>
      <c r="J501" s="14"/>
      <c r="K501" s="20"/>
      <c r="L501" s="14"/>
      <c r="M501" s="20"/>
      <c r="N501" s="14"/>
      <c r="O501" s="20"/>
      <c r="P501" s="66"/>
      <c r="Q501" s="64"/>
      <c r="R501" s="64"/>
    </row>
    <row r="502" spans="2:18" x14ac:dyDescent="0.25">
      <c r="B502" s="14"/>
      <c r="C502" s="12"/>
      <c r="D502" s="14"/>
      <c r="E502" s="12"/>
      <c r="F502" s="14"/>
      <c r="G502" s="12"/>
      <c r="H502" s="14"/>
      <c r="I502" s="12"/>
      <c r="J502" s="14"/>
      <c r="K502" s="12"/>
      <c r="L502" s="14"/>
      <c r="M502" s="12"/>
      <c r="N502" s="14"/>
      <c r="O502" s="12"/>
      <c r="P502" s="66"/>
      <c r="Q502" s="64"/>
      <c r="R502" s="64"/>
    </row>
    <row r="503" spans="2:18" x14ac:dyDescent="0.25">
      <c r="B503" s="19"/>
      <c r="C503" s="12"/>
      <c r="D503" s="19"/>
      <c r="E503" s="12"/>
      <c r="F503" s="19"/>
      <c r="G503" s="12"/>
      <c r="H503" s="19"/>
      <c r="I503" s="12"/>
      <c r="J503" s="19"/>
      <c r="K503" s="12"/>
      <c r="L503" s="19"/>
      <c r="M503" s="12"/>
      <c r="N503" s="19"/>
      <c r="O503" s="12"/>
      <c r="P503" s="66"/>
      <c r="Q503" s="64"/>
      <c r="R503" s="64"/>
    </row>
    <row r="504" spans="2:18" x14ac:dyDescent="0.25">
      <c r="B504" s="24" t="s">
        <v>13</v>
      </c>
      <c r="C504" s="12"/>
      <c r="D504" s="24" t="s">
        <v>13</v>
      </c>
      <c r="E504" s="12"/>
      <c r="F504" s="24" t="s">
        <v>13</v>
      </c>
      <c r="G504" s="12"/>
      <c r="H504" s="24" t="s">
        <v>13</v>
      </c>
      <c r="I504" s="12"/>
      <c r="J504" s="24" t="s">
        <v>13</v>
      </c>
      <c r="K504" s="12"/>
      <c r="L504" s="24" t="s">
        <v>13</v>
      </c>
      <c r="M504" s="12"/>
      <c r="N504" s="24" t="s">
        <v>13</v>
      </c>
      <c r="O504" s="12"/>
      <c r="P504" s="66" t="s">
        <v>67</v>
      </c>
      <c r="Q504" s="64"/>
      <c r="R504" s="64"/>
    </row>
    <row r="505" spans="2:18" ht="15.75" thickBot="1" x14ac:dyDescent="0.3">
      <c r="B505" s="25">
        <f>SUM(B488:B496)+B502</f>
        <v>860</v>
      </c>
      <c r="C505" s="26"/>
      <c r="D505" s="25">
        <f>SUM(D488:D497)+D502</f>
        <v>900</v>
      </c>
      <c r="E505" s="26"/>
      <c r="F505" s="25">
        <f>SUM(F488:F497)+F502</f>
        <v>850</v>
      </c>
      <c r="G505" s="26"/>
      <c r="H505" s="25">
        <f>SUM(H488:H495)+H502</f>
        <v>960</v>
      </c>
      <c r="I505" s="26"/>
      <c r="J505" s="25">
        <f>SUM(J488:J495)+J502</f>
        <v>840</v>
      </c>
      <c r="K505" s="26"/>
      <c r="L505" s="25">
        <f>SUM(L488:L497)+L502</f>
        <v>1010</v>
      </c>
      <c r="M505" s="26"/>
      <c r="N505" s="25">
        <f>SUM(N488:N497)+N502</f>
        <v>990</v>
      </c>
      <c r="O505" s="26"/>
      <c r="P505" s="67">
        <f>SUM(B505:O505)/7</f>
        <v>915.71428571428567</v>
      </c>
      <c r="Q505" s="64"/>
      <c r="R505" s="64"/>
    </row>
    <row r="506" spans="2:18" ht="15.75" thickBot="1" x14ac:dyDescent="0.3"/>
    <row r="507" spans="2:18" x14ac:dyDescent="0.25">
      <c r="B507" s="73">
        <v>46035</v>
      </c>
      <c r="C507" s="74"/>
      <c r="D507" s="73">
        <v>46036</v>
      </c>
      <c r="E507" s="74"/>
      <c r="F507" s="73">
        <v>46037</v>
      </c>
      <c r="G507" s="74"/>
      <c r="H507" s="73">
        <v>46038</v>
      </c>
      <c r="I507" s="74"/>
      <c r="J507" s="73">
        <v>46039</v>
      </c>
      <c r="K507" s="74"/>
      <c r="L507" s="73">
        <v>46040</v>
      </c>
      <c r="M507" s="74"/>
      <c r="N507" s="73">
        <v>46041</v>
      </c>
      <c r="O507" s="74"/>
      <c r="P507" s="66"/>
      <c r="Q507" s="64"/>
      <c r="R507" s="64"/>
    </row>
    <row r="508" spans="2:18" x14ac:dyDescent="0.25">
      <c r="B508" s="3" t="s">
        <v>11</v>
      </c>
      <c r="C508" s="4" t="s">
        <v>12</v>
      </c>
      <c r="D508" s="3" t="s">
        <v>11</v>
      </c>
      <c r="E508" s="4" t="s">
        <v>12</v>
      </c>
      <c r="F508" s="3" t="s">
        <v>11</v>
      </c>
      <c r="G508" s="4" t="s">
        <v>12</v>
      </c>
      <c r="H508" s="3" t="s">
        <v>11</v>
      </c>
      <c r="I508" s="4" t="s">
        <v>12</v>
      </c>
      <c r="J508" s="3" t="s">
        <v>11</v>
      </c>
      <c r="K508" s="4" t="s">
        <v>12</v>
      </c>
      <c r="L508" s="3" t="s">
        <v>11</v>
      </c>
      <c r="M508" s="4" t="s">
        <v>12</v>
      </c>
      <c r="N508" s="3" t="s">
        <v>11</v>
      </c>
      <c r="O508" s="4" t="s">
        <v>12</v>
      </c>
      <c r="P508" s="66"/>
      <c r="Q508" s="64"/>
      <c r="R508" s="64"/>
    </row>
    <row r="509" spans="2:18" x14ac:dyDescent="0.25">
      <c r="B509" s="47">
        <v>120</v>
      </c>
      <c r="C509" s="28">
        <v>6.25E-2</v>
      </c>
      <c r="D509" s="47">
        <v>150</v>
      </c>
      <c r="E509" s="28">
        <v>0.16666666666666666</v>
      </c>
      <c r="F509" s="29">
        <v>90</v>
      </c>
      <c r="G509" s="28">
        <v>6.25E-2</v>
      </c>
      <c r="H509" s="29">
        <v>150</v>
      </c>
      <c r="I509" s="28" t="s">
        <v>80</v>
      </c>
      <c r="J509" s="29">
        <v>140</v>
      </c>
      <c r="K509" s="28">
        <v>0.125</v>
      </c>
      <c r="L509" s="47">
        <v>150</v>
      </c>
      <c r="M509" s="28">
        <v>0.13541666666666666</v>
      </c>
      <c r="N509" s="29"/>
      <c r="O509" s="28"/>
      <c r="P509" s="66"/>
      <c r="Q509" s="64"/>
      <c r="R509" s="64"/>
    </row>
    <row r="510" spans="2:18" x14ac:dyDescent="0.25">
      <c r="B510" s="47">
        <v>150</v>
      </c>
      <c r="C510" s="28">
        <v>0.21875</v>
      </c>
      <c r="D510" s="47">
        <v>150</v>
      </c>
      <c r="E510" s="28">
        <v>0.32291666666666669</v>
      </c>
      <c r="F510" s="29">
        <v>150</v>
      </c>
      <c r="G510" s="28">
        <v>0.23958333333333334</v>
      </c>
      <c r="H510" s="29">
        <v>150</v>
      </c>
      <c r="I510" s="28">
        <v>0.29166666666666669</v>
      </c>
      <c r="J510" s="29">
        <v>150</v>
      </c>
      <c r="K510" s="28">
        <v>0.27083333333333331</v>
      </c>
      <c r="L510" s="47">
        <v>150</v>
      </c>
      <c r="M510" s="28">
        <v>0.29166666666666669</v>
      </c>
      <c r="N510" s="29"/>
      <c r="O510" s="28"/>
      <c r="P510" s="66"/>
      <c r="Q510" s="64"/>
      <c r="R510" s="64"/>
    </row>
    <row r="511" spans="2:18" x14ac:dyDescent="0.25">
      <c r="B511" s="47">
        <v>150</v>
      </c>
      <c r="C511" s="28">
        <v>0.375</v>
      </c>
      <c r="D511" s="47">
        <v>180</v>
      </c>
      <c r="E511" s="28">
        <v>0.48958333333333331</v>
      </c>
      <c r="F511" s="29">
        <v>150</v>
      </c>
      <c r="G511" s="28">
        <v>0.35416666666666669</v>
      </c>
      <c r="H511" s="29">
        <v>60</v>
      </c>
      <c r="I511" s="28">
        <v>0.41666666666666669</v>
      </c>
      <c r="J511" s="29">
        <v>150</v>
      </c>
      <c r="K511" s="28">
        <v>0.42708333333333331</v>
      </c>
      <c r="L511" s="47">
        <v>210</v>
      </c>
      <c r="M511" s="28">
        <v>0.51041666666666663</v>
      </c>
      <c r="N511" s="29"/>
      <c r="O511" s="28"/>
      <c r="P511" s="66"/>
      <c r="Q511" s="64"/>
      <c r="R511" s="64"/>
    </row>
    <row r="512" spans="2:18" x14ac:dyDescent="0.25">
      <c r="B512" s="47">
        <v>150</v>
      </c>
      <c r="C512" s="28">
        <v>0.5625</v>
      </c>
      <c r="D512" s="47">
        <v>150</v>
      </c>
      <c r="E512" s="28">
        <v>0.55208333333333337</v>
      </c>
      <c r="F512" s="29">
        <v>180</v>
      </c>
      <c r="G512" s="28">
        <v>0.51041666666666663</v>
      </c>
      <c r="H512" s="29">
        <v>90</v>
      </c>
      <c r="I512" s="28">
        <v>0.44791666666666669</v>
      </c>
      <c r="J512" s="29">
        <v>150</v>
      </c>
      <c r="K512" s="32">
        <v>0.72916666666666663</v>
      </c>
      <c r="L512" s="47">
        <v>150</v>
      </c>
      <c r="M512" s="36">
        <v>0.70833333333333337</v>
      </c>
      <c r="N512" s="29"/>
      <c r="O512" s="28"/>
      <c r="P512" s="66"/>
      <c r="Q512" s="71" t="s">
        <v>78</v>
      </c>
      <c r="R512" s="71"/>
    </row>
    <row r="513" spans="2:18" x14ac:dyDescent="0.25">
      <c r="B513" s="47">
        <v>120</v>
      </c>
      <c r="C513" s="28">
        <v>0.67708333333333337</v>
      </c>
      <c r="D513" s="47">
        <v>100</v>
      </c>
      <c r="E513" s="28">
        <v>0.75</v>
      </c>
      <c r="F513" s="29">
        <v>150</v>
      </c>
      <c r="G513" s="28">
        <v>0.70833333333333337</v>
      </c>
      <c r="H513" s="29">
        <v>60</v>
      </c>
      <c r="I513" s="28">
        <v>0.69791666666666663</v>
      </c>
      <c r="J513" s="29">
        <v>150</v>
      </c>
      <c r="K513" s="32">
        <v>0.95833333333333337</v>
      </c>
      <c r="L513" s="47">
        <v>180</v>
      </c>
      <c r="M513" s="36">
        <v>0.89583333333333337</v>
      </c>
      <c r="N513" s="29"/>
      <c r="O513" s="28"/>
      <c r="P513" s="66"/>
      <c r="Q513" s="64"/>
      <c r="R513" s="64"/>
    </row>
    <row r="514" spans="2:18" x14ac:dyDescent="0.25">
      <c r="B514" s="47">
        <v>170</v>
      </c>
      <c r="C514" s="28">
        <v>0.94791666666666663</v>
      </c>
      <c r="D514" s="47">
        <v>150</v>
      </c>
      <c r="E514" s="28">
        <v>0.85416666666666663</v>
      </c>
      <c r="F514" s="29">
        <v>120</v>
      </c>
      <c r="G514" s="28">
        <v>0.83333333333333337</v>
      </c>
      <c r="H514" s="29">
        <v>120</v>
      </c>
      <c r="I514" s="28">
        <v>0.82291666666666663</v>
      </c>
      <c r="J514" s="14"/>
      <c r="K514" s="32"/>
      <c r="L514" s="14"/>
      <c r="M514" s="36"/>
      <c r="N514" s="29"/>
      <c r="O514" s="28"/>
      <c r="P514" s="66"/>
      <c r="Q514" s="64"/>
      <c r="R514" s="64"/>
    </row>
    <row r="515" spans="2:18" x14ac:dyDescent="0.25">
      <c r="B515" s="14"/>
      <c r="C515" s="28"/>
      <c r="D515" s="14"/>
      <c r="E515" s="28"/>
      <c r="F515" s="29">
        <v>150</v>
      </c>
      <c r="G515" s="28">
        <v>0.98958333333333337</v>
      </c>
      <c r="H515" s="29">
        <v>150</v>
      </c>
      <c r="I515" s="28">
        <v>0.9375</v>
      </c>
      <c r="J515" s="14"/>
      <c r="K515" s="32"/>
      <c r="L515" s="14"/>
      <c r="M515" s="36"/>
      <c r="N515" s="29"/>
      <c r="O515" s="28"/>
      <c r="P515" s="66"/>
      <c r="Q515" s="64"/>
      <c r="R515" s="64"/>
    </row>
    <row r="516" spans="2:18" x14ac:dyDescent="0.25">
      <c r="B516" s="14"/>
      <c r="C516" s="28"/>
      <c r="D516" s="14"/>
      <c r="E516" s="28"/>
      <c r="F516" s="40"/>
      <c r="G516" s="28"/>
      <c r="H516" s="40"/>
      <c r="I516" s="28"/>
      <c r="J516" s="14"/>
      <c r="K516" s="28"/>
      <c r="L516" s="14"/>
      <c r="M516" s="36"/>
      <c r="N516" s="14"/>
      <c r="O516" s="28"/>
      <c r="P516" s="66"/>
      <c r="Q516" s="64"/>
      <c r="R516" s="64"/>
    </row>
    <row r="517" spans="2:18" ht="30" x14ac:dyDescent="0.25">
      <c r="B517" s="69" t="s">
        <v>89</v>
      </c>
      <c r="C517" s="70" t="s">
        <v>88</v>
      </c>
      <c r="D517" s="14"/>
      <c r="E517" s="28"/>
      <c r="F517" s="69" t="s">
        <v>89</v>
      </c>
      <c r="G517" s="70" t="s">
        <v>88</v>
      </c>
      <c r="H517" s="40"/>
      <c r="I517" s="28"/>
      <c r="J517" s="69" t="s">
        <v>89</v>
      </c>
      <c r="K517" s="70" t="s">
        <v>88</v>
      </c>
      <c r="L517" s="14"/>
      <c r="N517" s="69" t="s">
        <v>89</v>
      </c>
      <c r="O517" s="70" t="s">
        <v>88</v>
      </c>
      <c r="P517" s="66"/>
      <c r="Q517" s="64"/>
      <c r="R517" s="64"/>
    </row>
    <row r="518" spans="2:18" x14ac:dyDescent="0.25">
      <c r="B518" s="14"/>
      <c r="C518" s="28"/>
      <c r="D518" s="14"/>
      <c r="E518" s="28"/>
      <c r="F518" s="40"/>
      <c r="G518" s="28"/>
      <c r="H518" s="40"/>
      <c r="I518" s="28"/>
      <c r="J518" s="14"/>
      <c r="K518" s="28"/>
      <c r="L518" s="14"/>
      <c r="M518" s="28"/>
      <c r="N518" s="14"/>
      <c r="O518" s="28"/>
      <c r="P518" s="66"/>
      <c r="Q518" s="64"/>
      <c r="R518" s="64"/>
    </row>
    <row r="519" spans="2:18" x14ac:dyDescent="0.25">
      <c r="B519" s="14"/>
      <c r="C519" s="52"/>
      <c r="D519" s="14"/>
      <c r="E519" s="46"/>
      <c r="F519" s="40"/>
      <c r="G519" s="28"/>
      <c r="H519" s="40"/>
      <c r="I519" s="28"/>
      <c r="J519" s="14"/>
      <c r="K519" s="46"/>
      <c r="L519" s="14"/>
      <c r="M519" s="46"/>
      <c r="N519" s="14"/>
      <c r="O519" s="46"/>
      <c r="P519" s="66"/>
      <c r="Q519" s="64"/>
      <c r="R519" s="64"/>
    </row>
    <row r="520" spans="2:18" x14ac:dyDescent="0.25">
      <c r="B520" s="14"/>
      <c r="C520" s="22"/>
      <c r="D520" s="14"/>
      <c r="E520" s="35"/>
      <c r="F520" s="14"/>
      <c r="G520" s="28"/>
      <c r="H520" s="14"/>
      <c r="I520" s="28"/>
      <c r="J520" s="14"/>
      <c r="K520" s="28"/>
      <c r="L520" s="14"/>
      <c r="M520" s="35"/>
      <c r="N520" s="14"/>
      <c r="O520" s="28"/>
      <c r="P520" s="66"/>
      <c r="Q520" s="64"/>
      <c r="R520" s="64"/>
    </row>
    <row r="521" spans="2:18" x14ac:dyDescent="0.25">
      <c r="B521" s="14"/>
      <c r="C521" s="22"/>
      <c r="D521" s="14"/>
      <c r="E521" s="35"/>
      <c r="F521" s="14"/>
      <c r="G521" s="28"/>
      <c r="H521" s="14"/>
      <c r="I521" s="28"/>
      <c r="J521" s="14"/>
      <c r="K521" s="28"/>
      <c r="L521" s="14"/>
      <c r="M521" s="35"/>
      <c r="N521" s="14"/>
      <c r="O521" s="20"/>
      <c r="P521" s="66"/>
      <c r="Q521" s="64"/>
      <c r="R521" s="64"/>
    </row>
    <row r="522" spans="2:18" x14ac:dyDescent="0.25">
      <c r="B522" s="14"/>
      <c r="C522" s="20"/>
      <c r="D522" s="14"/>
      <c r="E522" s="20"/>
      <c r="F522" s="14"/>
      <c r="G522" s="20"/>
      <c r="H522" s="14"/>
      <c r="I522" s="20"/>
      <c r="J522" s="14"/>
      <c r="K522" s="20"/>
      <c r="L522" s="14"/>
      <c r="M522" s="20"/>
      <c r="N522" s="14"/>
      <c r="O522" s="20"/>
      <c r="P522" s="66"/>
      <c r="Q522" s="64"/>
      <c r="R522" s="64"/>
    </row>
    <row r="523" spans="2:18" x14ac:dyDescent="0.25">
      <c r="B523" s="14"/>
      <c r="C523" s="12"/>
      <c r="D523" s="14"/>
      <c r="E523" s="12"/>
      <c r="F523" s="14"/>
      <c r="G523" s="12"/>
      <c r="H523" s="14"/>
      <c r="I523" s="12"/>
      <c r="J523" s="14"/>
      <c r="K523" s="12"/>
      <c r="L523" s="14"/>
      <c r="M523" s="12"/>
      <c r="N523" s="14"/>
      <c r="O523" s="12"/>
      <c r="P523" s="66"/>
      <c r="Q523" s="64"/>
      <c r="R523" s="64"/>
    </row>
    <row r="524" spans="2:18" x14ac:dyDescent="0.25">
      <c r="B524" s="19"/>
      <c r="C524" s="12"/>
      <c r="D524" s="19"/>
      <c r="E524" s="12"/>
      <c r="F524" s="19"/>
      <c r="G524" s="12"/>
      <c r="H524" s="19"/>
      <c r="I524" s="12"/>
      <c r="J524" s="19"/>
      <c r="K524" s="12"/>
      <c r="L524" s="19"/>
      <c r="M524" s="12"/>
      <c r="N524" s="19"/>
      <c r="O524" s="12"/>
      <c r="P524" s="66"/>
      <c r="Q524" s="64"/>
      <c r="R524" s="64"/>
    </row>
    <row r="525" spans="2:18" x14ac:dyDescent="0.25">
      <c r="B525" s="24" t="s">
        <v>13</v>
      </c>
      <c r="C525" s="12"/>
      <c r="D525" s="24" t="s">
        <v>13</v>
      </c>
      <c r="E525" s="12"/>
      <c r="F525" s="24" t="s">
        <v>13</v>
      </c>
      <c r="G525" s="12"/>
      <c r="H525" s="24" t="s">
        <v>13</v>
      </c>
      <c r="I525" s="12"/>
      <c r="J525" s="24" t="s">
        <v>13</v>
      </c>
      <c r="K525" s="12"/>
      <c r="L525" s="24" t="s">
        <v>13</v>
      </c>
      <c r="M525" s="12"/>
      <c r="N525" s="24" t="s">
        <v>13</v>
      </c>
      <c r="O525" s="12"/>
      <c r="P525" s="66" t="s">
        <v>67</v>
      </c>
      <c r="Q525" s="64"/>
      <c r="R525" s="64"/>
    </row>
    <row r="526" spans="2:18" ht="15.75" thickBot="1" x14ac:dyDescent="0.3">
      <c r="B526" s="25">
        <f>SUM(B509:B517)+B523</f>
        <v>860</v>
      </c>
      <c r="C526" s="26"/>
      <c r="D526" s="25">
        <f>SUM(D509:D518)+D523</f>
        <v>880</v>
      </c>
      <c r="E526" s="26"/>
      <c r="F526" s="25">
        <f>SUM(F509:F518)+F523</f>
        <v>990</v>
      </c>
      <c r="G526" s="26"/>
      <c r="H526" s="25">
        <f>SUM(H509:H516)+H523</f>
        <v>780</v>
      </c>
      <c r="I526" s="26"/>
      <c r="J526" s="25">
        <f>SUM(J509:J516)+J523</f>
        <v>740</v>
      </c>
      <c r="K526" s="26"/>
      <c r="L526" s="25">
        <f>SUM(L509:L518)+L523</f>
        <v>840</v>
      </c>
      <c r="M526" s="26"/>
      <c r="N526" s="25">
        <f>SUM(N509:N518)+N523</f>
        <v>0</v>
      </c>
      <c r="O526" s="26"/>
      <c r="P526" s="67">
        <f>SUM(B526:O526)/7</f>
        <v>727.14285714285711</v>
      </c>
      <c r="Q526" s="64"/>
      <c r="R526" s="64"/>
    </row>
  </sheetData>
  <mergeCells count="259">
    <mergeCell ref="Q388:R388"/>
    <mergeCell ref="Q430:R430"/>
    <mergeCell ref="Q451:R451"/>
    <mergeCell ref="Q472:R472"/>
    <mergeCell ref="B444:C444"/>
    <mergeCell ref="D444:E444"/>
    <mergeCell ref="F444:G444"/>
    <mergeCell ref="H444:I444"/>
    <mergeCell ref="J444:K444"/>
    <mergeCell ref="L444:M444"/>
    <mergeCell ref="N444:O444"/>
    <mergeCell ref="B423:C423"/>
    <mergeCell ref="D423:E423"/>
    <mergeCell ref="F423:G423"/>
    <mergeCell ref="H423:I423"/>
    <mergeCell ref="J423:K423"/>
    <mergeCell ref="L423:M423"/>
    <mergeCell ref="N423:O423"/>
    <mergeCell ref="Q428:R428"/>
    <mergeCell ref="Q429:R429"/>
    <mergeCell ref="Q283:R283"/>
    <mergeCell ref="Q284:T284"/>
    <mergeCell ref="Q285:R285"/>
    <mergeCell ref="Q304:R304"/>
    <mergeCell ref="Q305:T305"/>
    <mergeCell ref="B297:C297"/>
    <mergeCell ref="D297:E297"/>
    <mergeCell ref="F297:G297"/>
    <mergeCell ref="H297:I297"/>
    <mergeCell ref="J297:K297"/>
    <mergeCell ref="L297:M297"/>
    <mergeCell ref="N297:O297"/>
    <mergeCell ref="Q302:R302"/>
    <mergeCell ref="Q303:R303"/>
    <mergeCell ref="F318:G318"/>
    <mergeCell ref="H318:I318"/>
    <mergeCell ref="J318:K318"/>
    <mergeCell ref="L318:M318"/>
    <mergeCell ref="N318:O318"/>
    <mergeCell ref="Q323:R323"/>
    <mergeCell ref="Q324:R324"/>
    <mergeCell ref="B360:C360"/>
    <mergeCell ref="Q241:R241"/>
    <mergeCell ref="Q242:T242"/>
    <mergeCell ref="Q219:R219"/>
    <mergeCell ref="Q220:R220"/>
    <mergeCell ref="Q221:T221"/>
    <mergeCell ref="Q239:R239"/>
    <mergeCell ref="Q240:R240"/>
    <mergeCell ref="Q197:R197"/>
    <mergeCell ref="Q198:R198"/>
    <mergeCell ref="Q199:R199"/>
    <mergeCell ref="Q200:T200"/>
    <mergeCell ref="Q218:R218"/>
    <mergeCell ref="L213:M213"/>
    <mergeCell ref="N213:O213"/>
    <mergeCell ref="B234:C234"/>
    <mergeCell ref="D234:E234"/>
    <mergeCell ref="F234:G234"/>
    <mergeCell ref="H234:I234"/>
    <mergeCell ref="J234:K234"/>
    <mergeCell ref="L234:M234"/>
    <mergeCell ref="N234:O234"/>
    <mergeCell ref="B213:C213"/>
    <mergeCell ref="D213:E213"/>
    <mergeCell ref="F213:G213"/>
    <mergeCell ref="H213:I213"/>
    <mergeCell ref="J213:K213"/>
    <mergeCell ref="Q179:T179"/>
    <mergeCell ref="B192:C192"/>
    <mergeCell ref="D192:E192"/>
    <mergeCell ref="F192:G192"/>
    <mergeCell ref="H192:I192"/>
    <mergeCell ref="J192:K192"/>
    <mergeCell ref="L192:M192"/>
    <mergeCell ref="N192:O192"/>
    <mergeCell ref="L171:M171"/>
    <mergeCell ref="N171:O171"/>
    <mergeCell ref="Q176:R176"/>
    <mergeCell ref="Q177:R177"/>
    <mergeCell ref="Q178:R178"/>
    <mergeCell ref="B171:C171"/>
    <mergeCell ref="D171:E171"/>
    <mergeCell ref="F171:G171"/>
    <mergeCell ref="H171:I171"/>
    <mergeCell ref="J171:K171"/>
    <mergeCell ref="Q155:R155"/>
    <mergeCell ref="Q156:R156"/>
    <mergeCell ref="Q157:R157"/>
    <mergeCell ref="Q158:T158"/>
    <mergeCell ref="Q137:T137"/>
    <mergeCell ref="B150:C150"/>
    <mergeCell ref="D150:E150"/>
    <mergeCell ref="F150:G150"/>
    <mergeCell ref="H150:I150"/>
    <mergeCell ref="J150:K150"/>
    <mergeCell ref="L150:M150"/>
    <mergeCell ref="N150:O150"/>
    <mergeCell ref="Q32:T32"/>
    <mergeCell ref="L129:M129"/>
    <mergeCell ref="N129:O129"/>
    <mergeCell ref="Q134:R134"/>
    <mergeCell ref="Q135:R135"/>
    <mergeCell ref="Q136:R136"/>
    <mergeCell ref="B129:C129"/>
    <mergeCell ref="D129:E129"/>
    <mergeCell ref="F129:G129"/>
    <mergeCell ref="H129:I129"/>
    <mergeCell ref="J129:K129"/>
    <mergeCell ref="Q92:R92"/>
    <mergeCell ref="B108:C108"/>
    <mergeCell ref="D108:E108"/>
    <mergeCell ref="F108:G108"/>
    <mergeCell ref="H108:I108"/>
    <mergeCell ref="J108:K108"/>
    <mergeCell ref="Q50:R50"/>
    <mergeCell ref="Q51:R51"/>
    <mergeCell ref="Q52:R52"/>
    <mergeCell ref="Q53:T53"/>
    <mergeCell ref="B87:C87"/>
    <mergeCell ref="D87:E87"/>
    <mergeCell ref="F87:G87"/>
    <mergeCell ref="Q29:R29"/>
    <mergeCell ref="Q30:R30"/>
    <mergeCell ref="Q31:R31"/>
    <mergeCell ref="Q11:T11"/>
    <mergeCell ref="B3:C3"/>
    <mergeCell ref="D3:E3"/>
    <mergeCell ref="F3:G3"/>
    <mergeCell ref="H3:I3"/>
    <mergeCell ref="N3:O3"/>
    <mergeCell ref="B24:C24"/>
    <mergeCell ref="Q8:R8"/>
    <mergeCell ref="Q9:R9"/>
    <mergeCell ref="Q10:R10"/>
    <mergeCell ref="J3:K3"/>
    <mergeCell ref="L3:M3"/>
    <mergeCell ref="F24:G24"/>
    <mergeCell ref="H24:I24"/>
    <mergeCell ref="J24:K24"/>
    <mergeCell ref="L24:M24"/>
    <mergeCell ref="N24:O24"/>
    <mergeCell ref="D24:E24"/>
    <mergeCell ref="H87:I87"/>
    <mergeCell ref="J87:K87"/>
    <mergeCell ref="B66:C66"/>
    <mergeCell ref="D66:E66"/>
    <mergeCell ref="L87:M87"/>
    <mergeCell ref="N87:O87"/>
    <mergeCell ref="Q73:R73"/>
    <mergeCell ref="Q74:T74"/>
    <mergeCell ref="Q71:R71"/>
    <mergeCell ref="Q72:R72"/>
    <mergeCell ref="B45:C45"/>
    <mergeCell ref="D45:E45"/>
    <mergeCell ref="F45:G45"/>
    <mergeCell ref="H45:I45"/>
    <mergeCell ref="J45:K45"/>
    <mergeCell ref="Q49:R49"/>
    <mergeCell ref="F66:G66"/>
    <mergeCell ref="H66:I66"/>
    <mergeCell ref="J66:K66"/>
    <mergeCell ref="L66:M66"/>
    <mergeCell ref="N66:O66"/>
    <mergeCell ref="L45:M45"/>
    <mergeCell ref="N45:O45"/>
    <mergeCell ref="Q116:T116"/>
    <mergeCell ref="L108:M108"/>
    <mergeCell ref="N108:O108"/>
    <mergeCell ref="Q113:R113"/>
    <mergeCell ref="Q114:R114"/>
    <mergeCell ref="Q115:R115"/>
    <mergeCell ref="Q93:R93"/>
    <mergeCell ref="Q94:R94"/>
    <mergeCell ref="Q95:T95"/>
    <mergeCell ref="B318:C318"/>
    <mergeCell ref="D318:E318"/>
    <mergeCell ref="Q366:R366"/>
    <mergeCell ref="Q262:R262"/>
    <mergeCell ref="Q263:T263"/>
    <mergeCell ref="Q264:R264"/>
    <mergeCell ref="B255:C255"/>
    <mergeCell ref="D255:E255"/>
    <mergeCell ref="F255:G255"/>
    <mergeCell ref="H255:I255"/>
    <mergeCell ref="J255:K255"/>
    <mergeCell ref="L255:M255"/>
    <mergeCell ref="N255:O255"/>
    <mergeCell ref="Q260:R260"/>
    <mergeCell ref="Q261:R261"/>
    <mergeCell ref="B276:C276"/>
    <mergeCell ref="D276:E276"/>
    <mergeCell ref="F276:G276"/>
    <mergeCell ref="H276:I276"/>
    <mergeCell ref="J276:K276"/>
    <mergeCell ref="L276:M276"/>
    <mergeCell ref="N276:O276"/>
    <mergeCell ref="Q281:R281"/>
    <mergeCell ref="Q282:R282"/>
    <mergeCell ref="Q387:R387"/>
    <mergeCell ref="Q365:R365"/>
    <mergeCell ref="B339:C339"/>
    <mergeCell ref="D339:E339"/>
    <mergeCell ref="F339:G339"/>
    <mergeCell ref="H339:I339"/>
    <mergeCell ref="J339:K339"/>
    <mergeCell ref="L339:M339"/>
    <mergeCell ref="N339:O339"/>
    <mergeCell ref="Q344:R344"/>
    <mergeCell ref="B381:C381"/>
    <mergeCell ref="D381:E381"/>
    <mergeCell ref="F381:G381"/>
    <mergeCell ref="H381:I381"/>
    <mergeCell ref="J381:K381"/>
    <mergeCell ref="L381:M381"/>
    <mergeCell ref="N381:O381"/>
    <mergeCell ref="Q386:R386"/>
    <mergeCell ref="D360:E360"/>
    <mergeCell ref="F360:G360"/>
    <mergeCell ref="H360:I360"/>
    <mergeCell ref="J360:K360"/>
    <mergeCell ref="L360:M360"/>
    <mergeCell ref="N360:O360"/>
    <mergeCell ref="B402:C402"/>
    <mergeCell ref="D402:E402"/>
    <mergeCell ref="F402:G402"/>
    <mergeCell ref="H402:I402"/>
    <mergeCell ref="J402:K402"/>
    <mergeCell ref="L402:M402"/>
    <mergeCell ref="N402:O402"/>
    <mergeCell ref="Q407:R407"/>
    <mergeCell ref="Q408:R408"/>
    <mergeCell ref="Q449:R449"/>
    <mergeCell ref="Q450:R450"/>
    <mergeCell ref="B465:C465"/>
    <mergeCell ref="D465:E465"/>
    <mergeCell ref="F465:G465"/>
    <mergeCell ref="H465:I465"/>
    <mergeCell ref="J465:K465"/>
    <mergeCell ref="L465:M465"/>
    <mergeCell ref="N465:O465"/>
    <mergeCell ref="Q512:R512"/>
    <mergeCell ref="Q470:R470"/>
    <mergeCell ref="Q471:R471"/>
    <mergeCell ref="B507:C507"/>
    <mergeCell ref="D507:E507"/>
    <mergeCell ref="F507:G507"/>
    <mergeCell ref="H507:I507"/>
    <mergeCell ref="J507:K507"/>
    <mergeCell ref="L507:M507"/>
    <mergeCell ref="N507:O507"/>
    <mergeCell ref="B486:C486"/>
    <mergeCell ref="D486:E486"/>
    <mergeCell ref="F486:G486"/>
    <mergeCell ref="H486:I486"/>
    <mergeCell ref="J486:K486"/>
    <mergeCell ref="L486:M486"/>
    <mergeCell ref="N486:O486"/>
    <mergeCell ref="Q491:R491"/>
  </mergeCells>
  <phoneticPr fontId="5" type="noConversion"/>
  <printOptions horizontalCentered="1" verticalCentered="1"/>
  <pageMargins left="0.25" right="0.25" top="0.75" bottom="0.75" header="0.3" footer="0.3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Poids et Taille</vt:lpstr>
      <vt:lpstr>Lait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Pilard</dc:creator>
  <cp:lastModifiedBy>Gerald Pilard</cp:lastModifiedBy>
  <cp:lastPrinted>2026-01-07T04:22:46Z</cp:lastPrinted>
  <dcterms:created xsi:type="dcterms:W3CDTF">2025-05-27T04:14:29Z</dcterms:created>
  <dcterms:modified xsi:type="dcterms:W3CDTF">2026-01-20T10:04:01Z</dcterms:modified>
</cp:coreProperties>
</file>